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hể lệ" sheetId="1" state="visible" r:id="rId3"/>
    <sheet name="VĐV" sheetId="2" state="visible" r:id="rId4"/>
    <sheet name="Đội hình" sheetId="3" state="visible" r:id="rId5"/>
    <sheet name="Vòng loại" sheetId="4" state="visible" r:id="rId6"/>
    <sheet name="BXH" sheetId="5" state="visible" r:id="rId7"/>
    <sheet name="Tranh hạng" sheetId="6" state="visible" r:id="rId8"/>
    <sheet name="Lịch sân" sheetId="7" state="visible" r:id="rId9"/>
    <sheet name="Thu chi" sheetId="8" state="visible" r:id="rId10"/>
    <sheet name="Tài trợ" sheetId="9" state="visible" r:id="rId11"/>
    <sheet name="Vinh danh" sheetId="10" state="visible" r:id="rId12"/>
  </sheets>
  <definedNames>
    <definedName function="false" hidden="false" name="DS_DOI" vbProcedure="false">'Đội hình'!$B$5:$B$8</definedName>
    <definedName function="false" hidden="false" name="DS_VDV" vbProcedure="false">VĐV!$B$8:$B$47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<sst xmlns="http://schemas.openxmlformats.org/spreadsheetml/2006/main" count="328" uniqueCount="232">
  <si>
    <t xml:space="preserve">GIẢI CẦU LÔNG NỘI BỘ 2026</t>
  </si>
  <si>
    <t xml:space="preserve">Hội lông thủ CN1416 · Bộ file điều hành giải</t>
  </si>
  <si>
    <t xml:space="preserve">THÔNG TIN GIẢI</t>
  </si>
  <si>
    <t xml:space="preserve">Tên giải</t>
  </si>
  <si>
    <t xml:space="preserve">Giải cầu lông nội bộ 2026</t>
  </si>
  <si>
    <t xml:space="preserve">Đơn vị tổ chức</t>
  </si>
  <si>
    <t xml:space="preserve">Hội lông thủ CN1416</t>
  </si>
  <si>
    <t xml:space="preserve">Thời gian</t>
  </si>
  <si>
    <t xml:space="preserve">Cuối tháng 10/2026 — chưa chốt ngày</t>
  </si>
  <si>
    <t xml:space="preserve">Địa điểm</t>
  </si>
  <si>
    <t xml:space="preserve">Sân cầu lông Tấn Phúc</t>
  </si>
  <si>
    <t xml:space="preserve">Số đội</t>
  </si>
  <si>
    <t xml:space="preserve">Số nội dung</t>
  </si>
  <si>
    <t xml:space="preserve">Tổng số trận</t>
  </si>
  <si>
    <t xml:space="preserve">24 (18 vòng loại + 6 tranh hạng)</t>
  </si>
  <si>
    <t xml:space="preserve">Lệ phí</t>
  </si>
  <si>
    <t xml:space="preserve">Đang chốt — BTC công bố sau</t>
  </si>
  <si>
    <t xml:space="preserve">Quỹ giải</t>
  </si>
  <si>
    <t xml:space="preserve">BTC góp 1.000.000 đ · QR quỹ cập nhật sau</t>
  </si>
  <si>
    <t xml:space="preserve">Liên hệ BTC</t>
  </si>
  <si>
    <t xml:space="preserve">[Tên] · [Số điện thoại]</t>
  </si>
  <si>
    <t xml:space="preserve">THỂ THỨC</t>
  </si>
  <si>
    <t xml:space="preserve">1. Giải chia thành 4 đội. BTC bốc thăm chia đều trình độ, không ai được tự chọn đồng đội.</t>
  </si>
  <si>
    <t xml:space="preserve">2. VÒNG LOẠI: bốn đội đấu xoay tua, mỗi đội gặp cả ba đội còn lại — 6 lượt đấu.</t>
  </si>
  <si>
    <t xml:space="preserve">3. Mỗi lượt gặp nhau đánh 3 nội dung: đôi nam, đôi nữ, đôi nam nữ. Mỗi nội dung đúng 1 trận, 1 séc.</t>
  </si>
  <si>
    <t xml:space="preserve">4. Vòng loại có 18 trận, mỗi đội đánh 9 trận.</t>
  </si>
  <si>
    <t xml:space="preserve">5. VÒNG TRANH HẠNG: đội nhất gặp đội nhì tranh giải Nhất – Nhì; đội ba gặp đội tư tranh giải Ba – Khuyến khích.</t>
  </si>
  <si>
    <t xml:space="preserve">6. Mỗi cặp tranh hạng đánh đủ 3 nội dung. Đội nào thắng 2 trên 3 nội dung là đội thắng.</t>
  </si>
  <si>
    <t xml:space="preserve">7. Đội trưởng được xếp lại cặp đấu theo chiến thuật. Các đội không biết trước cặp của đối thủ — chỉ BTC biết cho tới lúc gọi tên.</t>
  </si>
  <si>
    <t xml:space="preserve">LUẬT MỖI SÉC</t>
  </si>
  <si>
    <t xml:space="preserve">• Mỗi séc 21 điểm, tính điểm trực tiếp — thắng pha cầu nào ăn điểm pha đó.</t>
  </si>
  <si>
    <t xml:space="preserve">• Đổi sân khi một bên đạt 11 điểm. Áp dụng cho tất cả các trận.</t>
  </si>
  <si>
    <t xml:space="preserve">• Hoà 20-20 thì đánh tiếp, bên nào hơn 2 điểm trước thì thắng (22-20, 23-21, 24-22).</t>
  </si>
  <si>
    <t xml:space="preserve">• Hoà 24-24 thì bên nào chạm 25 trước thắng luôn. Trần điểm là 25.</t>
  </si>
  <si>
    <t xml:space="preserve">XẾP HẠNG SAU VÒNG LOẠI</t>
  </si>
  <si>
    <t xml:space="preserve">• Tiêu chí chính: TỔNG SỐ ĐIỂM mỗi đội ghi được qua cả 9 trận. Đội nào tổng điểm cao nhất xếp trên.</t>
  </si>
  <si>
    <t xml:space="preserve">• Bằng điểm thì xét lần lượt: (1) số trận thắng, (2) hiệu số điểm, (3) đối đầu trực tiếp.</t>
  </si>
  <si>
    <t xml:space="preserve">• Đối đầu trực tiếp do BTC xét tay — sheet BXH có cột “Cộng tay” để BTC phân định.</t>
  </si>
  <si>
    <t xml:space="preserve">GIẢI THƯỞNG</t>
  </si>
  <si>
    <t xml:space="preserve">Giải Nhất và Nhì trao cho hai đội thắng – thua ở trận tranh hạng nhất.</t>
  </si>
  <si>
    <t xml:space="preserve">Giải Ba và Khuyến khích trao cho hai đội thắng – thua ở trận tranh hạng ba.</t>
  </si>
  <si>
    <t xml:space="preserve">LỆ PHÍ VÀ TÀI TRỢ</t>
  </si>
  <si>
    <t xml:space="preserve">• Lệ phí tham gia CHƯA CHỐT. BTC tính sau khi biết số người đăng ký và số tiền tài trợ, rồi công bố trong nhóm.</t>
  </si>
  <si>
    <t xml:space="preserve">• BTC lập một quỹ riêng để quản lý chi phí giải và nhận quyên góp. Mã QR của quỹ sẽ cập nhật sau.</t>
  </si>
  <si>
    <t xml:space="preserve">• Ban tổ chức đóng góp 1.000.000 đồng. Admin hội trích một phần quỹ tháng của hội cho giải.</t>
  </si>
  <si>
    <t xml:space="preserve">• Ba hạng tài trợ: Kim cương (đóng góp nhiều nhất), Vàng (nhiều thứ nhì), Thân thiện (các nhà tài trợ còn lại).</t>
  </si>
  <si>
    <t xml:space="preserve">• Mỗi hạng có phần quà riêng, sẽ bật mí sau. Theo dõi ở sheet Tài trợ.</t>
  </si>
  <si>
    <t xml:space="preserve">• Thu chi công khai đầy đủ trong nhóm sau khi giải kết thúc — xem sheet Thu chi.</t>
  </si>
  <si>
    <t xml:space="preserve">CÁCH DÙNG FILE NÀY</t>
  </si>
  <si>
    <t xml:space="preserve">• Ô nền VÀNG là ô bạn điền tay. Ô nền XÁM là ô file tự tính — gõ đè lên là hỏng công thức.</t>
  </si>
  <si>
    <t xml:space="preserve">• Thứ tự làm: VĐV → Đội hình → Lịch sân → Vòng loại → (BXH tự chạy) → Tranh hạng → Vinh danh.</t>
  </si>
  <si>
    <t xml:space="preserve">• Đổi tên 4 đội ở sheet Đội hình (ô B5:B8) là mọi sheet khác tự đổi theo.</t>
  </si>
  <si>
    <t xml:space="preserve">• Cột “Kiểm tra” ở sheet Vòng loại và Tranh hạng sẽ báo ⚠ nếu tỉ số không đúng luật 21/25 ở trên.</t>
  </si>
  <si>
    <t xml:space="preserve">• Vòng loại đang có tỉ số mẫu ở lượt 1 (ô H6:I8). Xoá đi trước khi dùng thật.</t>
  </si>
  <si>
    <t xml:space="preserve">CÁC SHEET TRONG FILE</t>
  </si>
  <si>
    <t xml:space="preserve">VĐV — danh sách đăng ký, chia đội, theo dõi lệ phí.</t>
  </si>
  <si>
    <t xml:space="preserve">Đội hình — tên 4 đội, cặp đánh vòng loại và cặp đánh vòng tranh hạng.</t>
  </si>
  <si>
    <t xml:space="preserve">Vòng loại — 18 trận, nhập điểm mỗi séc, tự tính đội thắng.</t>
  </si>
  <si>
    <t xml:space="preserve">BXH — xếp hạng 4 đội sau vòng loại, tự chỉ ra đội nào vào cặp tranh hạng nào.</t>
  </si>
  <si>
    <t xml:space="preserve">Tranh hạng — 6 trận của hai cặp tranh hạng, tự tính đội thắng 2/3.</t>
  </si>
  <si>
    <t xml:space="preserve">Lịch sân — xếp cả 24 trận vào sân và khung giờ, tự báo trùng sân hoặc trùng người.</t>
  </si>
  <si>
    <t xml:space="preserve">Tài trợ — danh sách nhà tài trợ, tự xếp hạng Kim cương / Vàng / Thân thiện theo số tiền.</t>
  </si>
  <si>
    <t xml:space="preserve">Thu chi — lệ phí thu vào, các khoản chi ra, còn thừa thiếu bao nhiêu.</t>
  </si>
  <si>
    <t xml:space="preserve">Vinh danh — bốn giải, vô địch từng nội dung, lịch sử các mùa.</t>
  </si>
  <si>
    <t xml:space="preserve">DANH SÁCH VẬN ĐỘNG VIÊN</t>
  </si>
  <si>
    <t xml:space="preserve">Điền vào vùng vàng. Cột Đội và Lệ phí có sẵn danh sách chọn.</t>
  </si>
  <si>
    <t xml:space="preserve">TỔNG HỢP NHANH</t>
  </si>
  <si>
    <t xml:space="preserve">Tổng VĐV</t>
  </si>
  <si>
    <t xml:space="preserve">Nam</t>
  </si>
  <si>
    <t xml:space="preserve">Nữ</t>
  </si>
  <si>
    <t xml:space="preserve">Đã đóng phí</t>
  </si>
  <si>
    <t xml:space="preserve">Chưa đóng</t>
  </si>
  <si>
    <t xml:space="preserve">Số người mỗi đội</t>
  </si>
  <si>
    <t xml:space="preserve">STT</t>
  </si>
  <si>
    <t xml:space="preserve">Họ và tên</t>
  </si>
  <si>
    <t xml:space="preserve">Giới tính</t>
  </si>
  <si>
    <t xml:space="preserve">Đội</t>
  </si>
  <si>
    <t xml:space="preserve">Số điện thoại</t>
  </si>
  <si>
    <t xml:space="preserve">Ghi chú</t>
  </si>
  <si>
    <t xml:space="preserve">Nguyễn Văn Ví Dụ</t>
  </si>
  <si>
    <t xml:space="preserve">0901 234 567</t>
  </si>
  <si>
    <t xml:space="preserve">Rồi</t>
  </si>
  <si>
    <t xml:space="preserve">← dòng ví dụ, xoá đi trước khi dùng</t>
  </si>
  <si>
    <t xml:space="preserve">ĐỘI HÌNH</t>
  </si>
  <si>
    <t xml:space="preserve">Đổi tên đội ở B5:B8 là cả file tự đổi theo.</t>
  </si>
  <si>
    <t xml:space="preserve">Mã đội</t>
  </si>
  <si>
    <t xml:space="preserve">Tên đội</t>
  </si>
  <si>
    <t xml:space="preserve">Đội trưởng</t>
  </si>
  <si>
    <t xml:space="preserve">Đội 1</t>
  </si>
  <si>
    <t xml:space="preserve">Đội Đỏ</t>
  </si>
  <si>
    <t xml:space="preserve">Đội 2</t>
  </si>
  <si>
    <t xml:space="preserve">Đội Xanh</t>
  </si>
  <si>
    <t xml:space="preserve">Đội 3</t>
  </si>
  <si>
    <t xml:space="preserve">Đội Vàng</t>
  </si>
  <si>
    <t xml:space="preserve">Đội 4</t>
  </si>
  <si>
    <t xml:space="preserve">Đội Trắng</t>
  </si>
  <si>
    <t xml:space="preserve">ĐỘI HÌNH VÒNG LOẠI</t>
  </si>
  <si>
    <t xml:space="preserve">Mỗi đội cử 1 cặp cho mỗi nội dung. Nội dung đôi nữ cần tổng cộng 8 nữ (2 người × 4 đội) — nếu không đủ thì bỏ nội dung này hoặc thay bằng nội dung đôi nam thứ hai.</t>
  </si>
  <si>
    <t xml:space="preserve">Nội dung</t>
  </si>
  <si>
    <t xml:space="preserve">VĐV 1</t>
  </si>
  <si>
    <t xml:space="preserve">VĐV 2</t>
  </si>
  <si>
    <t xml:space="preserve">Tên cặp (tự tính)</t>
  </si>
  <si>
    <t xml:space="preserve">Khoá tra cứu (đừng xoá)</t>
  </si>
  <si>
    <t xml:space="preserve">Đôi nam</t>
  </si>
  <si>
    <t xml:space="preserve">Đôi nữ</t>
  </si>
  <si>
    <t xml:space="preserve">Đôi nam nữ</t>
  </si>
  <si>
    <t xml:space="preserve">ĐỘI HÌNH VÒNG TRANH HẠNG</t>
  </si>
  <si>
    <t xml:space="preserve">Đội trưởng được xếp lại cặp theo chiến thuật. Chỉ BTC giữ bảng này — không công bố cho tới lúc gọi tên. Để trống thì mặc định dùng lại đội hình vòng loại.</t>
  </si>
  <si>
    <t xml:space="preserve">VÒNG LOẠI — 18 TRẬN</t>
  </si>
  <si>
    <t xml:space="preserve">Mỗi nội dung đúng 1 séc. Chỉ nhập 2 ô điểm.</t>
  </si>
  <si>
    <t xml:space="preserve">⚠ Lượt 1 đang có TỈ SỐ MẪU để bạn thấy file chạy thế nào. Xoá vùng H6:I8 trước khi dùng thật.</t>
  </si>
  <si>
    <t xml:space="preserve">TT</t>
  </si>
  <si>
    <t xml:space="preserve">Lượt</t>
  </si>
  <si>
    <t xml:space="preserve">Đội A</t>
  </si>
  <si>
    <t xml:space="preserve">Đội B</t>
  </si>
  <si>
    <t xml:space="preserve">Cặp đội A</t>
  </si>
  <si>
    <t xml:space="preserve">Cặp đội B</t>
  </si>
  <si>
    <t xml:space="preserve">Điểm A</t>
  </si>
  <si>
    <t xml:space="preserve">Điểm B</t>
  </si>
  <si>
    <t xml:space="preserve">Đội thắng</t>
  </si>
  <si>
    <t xml:space="preserve">Kiểm tra</t>
  </si>
  <si>
    <t xml:space="preserve">BẢNG XẾP HẠNG SAU VÒNG LOẠI</t>
  </si>
  <si>
    <t xml:space="preserve">Xếp theo TỔNG ĐIỂM GHI ĐƯỢC. Bằng điểm mới xét số trận thắng → hiệu số điểm → đối đầu.</t>
  </si>
  <si>
    <t xml:space="preserve">Hạng</t>
  </si>
  <si>
    <t xml:space="preserve">Trận</t>
  </si>
  <si>
    <t xml:space="preserve">Thắng</t>
  </si>
  <si>
    <t xml:space="preserve">Thua</t>
  </si>
  <si>
    <t xml:space="preserve">Tổng điểm ghi</t>
  </si>
  <si>
    <t xml:space="preserve">Điểm để thua</t>
  </si>
  <si>
    <t xml:space="preserve">Hiệu số điểm</t>
  </si>
  <si>
    <t xml:space="preserve">Cộng tay</t>
  </si>
  <si>
    <t xml:space="preserve">Chỉ số xếp hạng</t>
  </si>
  <si>
    <t xml:space="preserve">Vào vòng tranh hạng</t>
  </si>
  <si>
    <t xml:space="preserve">Tiêu chí chính là TỔNG ĐIỂM GHI. Bằng điểm mới xét số trận thắng, rồi hiệu số điểm. Nếu vẫn bằng nhau tuyệt đối thì BTC xét đối đầu trực tiếp và gõ 1 vào ô “Cộng tay” của đội được xếp trên (ô vàng, mặc định 0). Cột “Chỉ số xếp hạng” gộp cả bốn thứ lại — đừng xoá.</t>
  </si>
  <si>
    <t xml:space="preserve">VÒNG TRANH HẠNG — 6 TRẬN</t>
  </si>
  <si>
    <t xml:space="preserve">Thắng 2 trên 3 nội dung là thắng. Cặp đấu lấy từ sheet Đội hình (khối tranh hạng).</t>
  </si>
  <si>
    <t xml:space="preserve">TRANH HẠNG NHẤT – NHÌ</t>
  </si>
  <si>
    <t xml:space="preserve">Nhất vòng loại</t>
  </si>
  <si>
    <t xml:space="preserve">Nhì vòng loại</t>
  </si>
  <si>
    <t xml:space="preserve">Cặp đội trên</t>
  </si>
  <si>
    <t xml:space="preserve">Cặp đội dưới</t>
  </si>
  <si>
    <t xml:space="preserve">→ GIẢI NHẤT</t>
  </si>
  <si>
    <t xml:space="preserve">→ GIẢI NHÌ</t>
  </si>
  <si>
    <t xml:space="preserve">TRANH HẠNG BA – KHUYẾN KHÍCH</t>
  </si>
  <si>
    <t xml:space="preserve">Ba vòng loại</t>
  </si>
  <si>
    <t xml:space="preserve">Tư vòng loại</t>
  </si>
  <si>
    <t xml:space="preserve">→ GIẢI BA</t>
  </si>
  <si>
    <t xml:space="preserve">→ GIẢI KHUYẾN KHÍCH</t>
  </si>
  <si>
    <t xml:space="preserve">Cặp đấu lấy từ khối “Đội hình vòng tranh hạng” ở sheet Đội hình. Nếu để trống khối đó thì hai cột cặp sẽ trống — điền vào rồi mới hiện tên. Mỗi nội dung vẫn đánh đúng 1 séc theo luật 21/25.</t>
  </si>
  <si>
    <t xml:space="preserve">LỊCH THI ĐẤU — 24 TRẬN</t>
  </si>
  <si>
    <t xml:space="preserve">Điền Sân và Khung giờ. Cột cuối tự báo trùng sân hoặc trùng người.</t>
  </si>
  <si>
    <t xml:space="preserve">Vòng</t>
  </si>
  <si>
    <t xml:space="preserve">Sân</t>
  </si>
  <si>
    <t xml:space="preserve">Khung giờ</t>
  </si>
  <si>
    <t xml:space="preserve">VĐV A1</t>
  </si>
  <si>
    <t xml:space="preserve">VĐV A2</t>
  </si>
  <si>
    <t xml:space="preserve">VĐV B1</t>
  </si>
  <si>
    <t xml:space="preserve">VĐV B2</t>
  </si>
  <si>
    <t xml:space="preserve">KT1</t>
  </si>
  <si>
    <t xml:space="preserve">KT2</t>
  </si>
  <si>
    <t xml:space="preserve">KT3</t>
  </si>
  <si>
    <t xml:space="preserve">KT4</t>
  </si>
  <si>
    <t xml:space="preserve">Cảnh báo</t>
  </si>
  <si>
    <t xml:space="preserve">Tranh hạng Nhất – Nhì</t>
  </si>
  <si>
    <t xml:space="preserve">Tranh hạng Ba – KK</t>
  </si>
  <si>
    <t xml:space="preserve">Khung giờ gõ dạng 08:00, 08:30… miễn các trận cùng giờ ghi giống hệt nhau. Bốn cột KT1–KT4 là cột phụ đếm xem một người có bị xếp hai trận cùng giờ không — đừng xoá. Sáu trận tranh hạng chỉ hiện tên đội sau khi vòng loại có kết quả.</t>
  </si>
  <si>
    <t xml:space="preserve">THU CHI GIẢI ĐẤU</t>
  </si>
  <si>
    <t xml:space="preserve">Điền Số lượng và Đơn giá. Thành tiền và tổng tự tính.</t>
  </si>
  <si>
    <t xml:space="preserve">CÁC KHOẢN THU</t>
  </si>
  <si>
    <t xml:space="preserve">Khoản thu</t>
  </si>
  <si>
    <t xml:space="preserve">Số lượng</t>
  </si>
  <si>
    <t xml:space="preserve">Đơn giá</t>
  </si>
  <si>
    <t xml:space="preserve">Thành tiền</t>
  </si>
  <si>
    <t xml:space="preserve">Lệ phí VĐV</t>
  </si>
  <si>
    <t xml:space="preserve">Số lượng tự đếm từ sheet VĐV. Đơn giá CHƯA CHỐT — điền khi BTC công bố</t>
  </si>
  <si>
    <t xml:space="preserve">Tài trợ</t>
  </si>
  <si>
    <t xml:space="preserve">Tự cộng từ sheet Tài trợ</t>
  </si>
  <si>
    <t xml:space="preserve">Ban tổ chức đóng góp</t>
  </si>
  <si>
    <t xml:space="preserve">BTC góp vào quỹ giải</t>
  </si>
  <si>
    <t xml:space="preserve">Quỹ tháng CLB trích</t>
  </si>
  <si>
    <t xml:space="preserve">Admin trích một phần quỹ tháng — điền số</t>
  </si>
  <si>
    <t xml:space="preserve">Khác</t>
  </si>
  <si>
    <t xml:space="preserve">TỔNG THU</t>
  </si>
  <si>
    <t xml:space="preserve">CÁC KHOẢN CHI</t>
  </si>
  <si>
    <t xml:space="preserve">Khoản chi</t>
  </si>
  <si>
    <t xml:space="preserve">Thuê sân</t>
  </si>
  <si>
    <t xml:space="preserve">Số giờ × giá mỗi giờ</t>
  </si>
  <si>
    <t xml:space="preserve">Cầu thi đấu</t>
  </si>
  <si>
    <t xml:space="preserve">Số ống × giá mỗi ống</t>
  </si>
  <si>
    <t xml:space="preserve">Huy chương</t>
  </si>
  <si>
    <t xml:space="preserve">4 bộ cho 4 đội</t>
  </si>
  <si>
    <t xml:space="preserve">Cúp / kỷ niệm chương</t>
  </si>
  <si>
    <t xml:space="preserve">Nước uống, khăn</t>
  </si>
  <si>
    <t xml:space="preserve">Tiệc tổng kết</t>
  </si>
  <si>
    <t xml:space="preserve">Số người × suất</t>
  </si>
  <si>
    <t xml:space="preserve">In poster, banner</t>
  </si>
  <si>
    <t xml:space="preserve">Chi phí khác</t>
  </si>
  <si>
    <t xml:space="preserve">TỔNG CHI</t>
  </si>
  <si>
    <t xml:space="preserve">CÂN ĐỐI</t>
  </si>
  <si>
    <t xml:space="preserve">Tổng thu</t>
  </si>
  <si>
    <t xml:space="preserve">Tổng chi</t>
  </si>
  <si>
    <t xml:space="preserve">Còn lại (thu − chi)</t>
  </si>
  <si>
    <t xml:space="preserve">Nếu thiếu, mỗi VĐV góp thêm</t>
  </si>
  <si>
    <t xml:space="preserve">Làm tròn lên đến nghìn đồng</t>
  </si>
  <si>
    <t xml:space="preserve">NHÀ TÀI TRỢ</t>
  </si>
  <si>
    <t xml:space="preserve">Điền tên và số tiền. Cột Hạng tự xếp theo số tiền đóng góp.</t>
  </si>
  <si>
    <t xml:space="preserve">TỔNG HỢP</t>
  </si>
  <si>
    <t xml:space="preserve">Tổng tiền tài trợ</t>
  </si>
  <si>
    <t xml:space="preserve">Số nhà tài trợ</t>
  </si>
  <si>
    <t xml:space="preserve">Đang giữ hạng Kim cương</t>
  </si>
  <si>
    <t xml:space="preserve">Đang giữ hạng Vàng</t>
  </si>
  <si>
    <t xml:space="preserve">DANH SÁCH NHÀ TÀI TRỢ</t>
  </si>
  <si>
    <t xml:space="preserve">Nhà tài trợ</t>
  </si>
  <si>
    <t xml:space="preserve">Số tiền</t>
  </si>
  <si>
    <t xml:space="preserve">Hạng (tự tính)</t>
  </si>
  <si>
    <t xml:space="preserve">Hạng tự xếp theo số tiền: nhiều nhất là Kim cương, nhiều thứ nhì là Vàng, còn lại là Thân thiện. Nếu hai nhà tài trợ góp bằng nhau thì cùng một hạng — trường hợp đó BTC tự phân xử. Tổng tiền ở ô C5 được sheet Thu chi lấy sang mục Tài trợ.</t>
  </si>
  <si>
    <t xml:space="preserve">VINH DANH</t>
  </si>
  <si>
    <t xml:space="preserve">Bốn giải lấy thẳng từ sheet Tranh hạng. Bảng lịch sử điền tay.</t>
  </si>
  <si>
    <t xml:space="preserve">KẾT QUẢ CHUNG CUỘC MÙA 2026</t>
  </si>
  <si>
    <t xml:space="preserve">Giải</t>
  </si>
  <si>
    <t xml:space="preserve">Giải Nhất</t>
  </si>
  <si>
    <t xml:space="preserve">Giải Nhì</t>
  </si>
  <si>
    <t xml:space="preserve">Giải Ba</t>
  </si>
  <si>
    <t xml:space="preserve">Giải Khuyến khích</t>
  </si>
  <si>
    <t xml:space="preserve">VÔ ĐỊCH TỪNG NỘI DUNG (tính theo vòng loại)</t>
  </si>
  <si>
    <t xml:space="preserve">Đội thắng nhiều nhất</t>
  </si>
  <si>
    <t xml:space="preserve">Số trận thắng</t>
  </si>
  <si>
    <t xml:space="preserve">LỊCH SỬ CÁC MÙA</t>
  </si>
  <si>
    <t xml:space="preserve">Năm</t>
  </si>
  <si>
    <t xml:space="preserve">Số VĐV</t>
  </si>
  <si>
    <t xml:space="preserve">Mùa đầu ghi lại bằng file này</t>
  </si>
  <si>
    <t xml:space="preserve">Dòng 2026 đang lấy công thức từ bảng phía trên. Khi giải kết thúc, copy dòng đó rồi Paste Special → Values để giữ lại kết quả, sang mùa sau thêm dòng mới bên dưới.</t>
  </si>
</sst>
</file>

<file path=xl/styles.xml><?xml version="1.0" encoding="utf-8"?>
<styleSheet xmlns="http://schemas.openxmlformats.org/spreadsheetml/2006/main">
  <numFmts count="4">
    <numFmt numFmtId="164" formatCode="General"/>
    <numFmt numFmtId="165" formatCode="General"/>
    <numFmt numFmtId="166" formatCode="#,##0&quot; ₫&quot;"/>
    <numFmt numFmtId="167" formatCode="0"/>
  </numFmts>
  <fonts count="28">
    <font>
      <sz val="11"/>
      <color theme="1"/>
      <name val="Calibri"/>
      <family val="2"/>
      <charset val="1"/>
    </font>
    <font>
      <sz val="10"/>
      <name val="Arial"/>
      <family val="0"/>
    </font>
    <font>
      <sz val="10"/>
      <name val="Arial"/>
      <family val="0"/>
    </font>
    <font>
      <sz val="10"/>
      <name val="Arial"/>
      <family val="0"/>
    </font>
    <font>
      <b val="true"/>
      <sz val="15"/>
      <color rgb="FFFFFFFF"/>
      <name val="Arial"/>
      <family val="0"/>
      <charset val="1"/>
    </font>
    <font>
      <sz val="9"/>
      <color rgb="FF6B7A72"/>
      <name val="Arial"/>
      <family val="0"/>
      <charset val="1"/>
    </font>
    <font>
      <b val="true"/>
      <sz val="10"/>
      <color rgb="FFC0692A"/>
      <name val="Arial"/>
      <family val="0"/>
      <charset val="1"/>
    </font>
    <font>
      <b val="true"/>
      <sz val="10"/>
      <color rgb="FF17211C"/>
      <name val="Arial"/>
      <family val="0"/>
      <charset val="1"/>
    </font>
    <font>
      <sz val="10"/>
      <color rgb="FF17211C"/>
      <name val="Arial"/>
      <family val="0"/>
      <charset val="1"/>
    </font>
    <font>
      <b val="true"/>
      <sz val="8"/>
      <color rgb="FF6B7A72"/>
      <name val="Arial"/>
      <family val="0"/>
      <charset val="1"/>
    </font>
    <font>
      <b val="true"/>
      <sz val="13"/>
      <color rgb="FF0E5A42"/>
      <name val="Arial"/>
      <family val="0"/>
      <charset val="1"/>
    </font>
    <font>
      <b val="true"/>
      <sz val="9"/>
      <color rgb="FF17211C"/>
      <name val="Arial"/>
      <family val="0"/>
      <charset val="1"/>
    </font>
    <font>
      <b val="true"/>
      <sz val="9"/>
      <color rgb="FFFFFFFF"/>
      <name val="Arial"/>
      <family val="0"/>
      <charset val="1"/>
    </font>
    <font>
      <i val="true"/>
      <sz val="9"/>
      <color rgb="FFC0392B"/>
      <name val="Arial"/>
      <family val="0"/>
      <charset val="1"/>
    </font>
    <font>
      <b val="true"/>
      <sz val="10"/>
      <color rgb="FF6B7A72"/>
      <name val="Arial"/>
      <family val="0"/>
      <charset val="1"/>
    </font>
    <font>
      <sz val="8"/>
      <color rgb="FF6B7A72"/>
      <name val="Arial"/>
      <family val="0"/>
      <charset val="1"/>
    </font>
    <font>
      <i val="true"/>
      <sz val="9"/>
      <color rgb="FFC0692A"/>
      <name val="Arial"/>
      <family val="0"/>
      <charset val="1"/>
    </font>
    <font>
      <sz val="9"/>
      <color rgb="FF17211C"/>
      <name val="Arial"/>
      <family val="0"/>
      <charset val="1"/>
    </font>
    <font>
      <b val="true"/>
      <sz val="12"/>
      <color rgb="FF17211C"/>
      <name val="Arial"/>
      <family val="0"/>
      <charset val="1"/>
    </font>
    <font>
      <b val="true"/>
      <sz val="10"/>
      <color rgb="FF0E5A42"/>
      <name val="Arial"/>
      <family val="0"/>
      <charset val="1"/>
    </font>
    <font>
      <b val="true"/>
      <sz val="13"/>
      <color rgb="FFC0692A"/>
      <name val="Arial"/>
      <family val="0"/>
      <charset val="1"/>
    </font>
    <font>
      <b val="true"/>
      <sz val="12"/>
      <color rgb="FF0E5A42"/>
      <name val="Arial"/>
      <family val="0"/>
      <charset val="1"/>
    </font>
    <font>
      <i val="true"/>
      <sz val="9"/>
      <color rgb="FF6B7A72"/>
      <name val="Arial"/>
      <family val="0"/>
      <charset val="1"/>
    </font>
    <font>
      <b val="true"/>
      <sz val="9"/>
      <color rgb="FF6B7A72"/>
      <name val="Arial"/>
      <family val="0"/>
      <charset val="1"/>
    </font>
    <font>
      <sz val="8"/>
      <color rgb="FFB9C2BB"/>
      <name val="Arial"/>
      <family val="0"/>
      <charset val="1"/>
    </font>
    <font>
      <b val="true"/>
      <sz val="10"/>
      <color rgb="FFC0392B"/>
      <name val="Arial"/>
      <family val="0"/>
      <charset val="1"/>
    </font>
    <font>
      <b val="true"/>
      <sz val="10"/>
      <color rgb="FFFFFFFF"/>
      <name val="Arial"/>
      <family val="0"/>
      <charset val="1"/>
    </font>
    <font>
      <b val="true"/>
      <sz val="11"/>
      <color rgb="FF0E5A42"/>
      <name val="Arial"/>
      <family val="0"/>
      <charset val="1"/>
    </font>
  </fonts>
  <fills count="5">
    <fill>
      <patternFill patternType="none"/>
    </fill>
    <fill>
      <patternFill patternType="gray125"/>
    </fill>
    <fill>
      <patternFill patternType="solid">
        <fgColor rgb="FF0E5A42"/>
        <bgColor rgb="FF008080"/>
      </patternFill>
    </fill>
    <fill>
      <patternFill patternType="solid">
        <fgColor rgb="FFFFF6D9"/>
        <bgColor rgb="FFFFF3D4"/>
      </patternFill>
    </fill>
    <fill>
      <patternFill patternType="solid">
        <fgColor rgb="FFF0F2F0"/>
        <bgColor rgb="FFFFF6D9"/>
      </patternFill>
    </fill>
  </fills>
  <borders count="3">
    <border diagonalUp="false" diagonalDown="false">
      <left/>
      <right/>
      <top/>
      <bottom/>
      <diagonal/>
    </border>
    <border diagonalUp="false" diagonalDown="false">
      <left style="thin">
        <color rgb="FFC7D0CA"/>
      </left>
      <right style="thin">
        <color rgb="FFC7D0CA"/>
      </right>
      <top style="thin">
        <color rgb="FFC7D0CA"/>
      </top>
      <bottom style="thin">
        <color rgb="FFC7D0CA"/>
      </bottom>
      <diagonal/>
    </border>
    <border diagonalUp="false" diagonalDown="false">
      <left style="thin">
        <color rgb="FFC7D0CA"/>
      </left>
      <right style="thin">
        <color rgb="FFC7D0CA"/>
      </right>
      <top style="medium">
        <color rgb="FF0E5A42"/>
      </top>
      <bottom style="thin">
        <color rgb="FFC7D0C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false" indent="1" shrinkToFit="false"/>
      <protection locked="true" hidden="false"/>
    </xf>
    <xf numFmtId="164" fontId="5" fillId="0" borderId="0" xfId="0" applyFont="true" applyBorder="true" applyAlignment="true" applyProtection="false">
      <alignment horizontal="general" vertical="center" textRotation="0" wrapText="false" indent="1" shrinkToFit="false"/>
      <protection locked="true" hidden="false"/>
    </xf>
    <xf numFmtId="164" fontId="6" fillId="0" borderId="0" xfId="0" applyFont="true" applyBorder="true" applyAlignment="true" applyProtection="false">
      <alignment horizontal="general" vertical="center" textRotation="0" wrapText="false" indent="1"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general" vertical="center" textRotation="0" wrapText="false" indent="1" shrinkToFit="false"/>
      <protection locked="true" hidden="false"/>
    </xf>
    <xf numFmtId="164" fontId="6" fillId="0" borderId="0" xfId="0" applyFont="true" applyBorder="true" applyAlignment="true" applyProtection="false">
      <alignment horizontal="general" vertical="center" textRotation="0" wrapText="false" indent="0" shrinkToFit="false"/>
      <protection locked="true" hidden="false"/>
    </xf>
    <xf numFmtId="164" fontId="8" fillId="0" borderId="0" xfId="0" applyFont="true" applyBorder="true" applyAlignment="true" applyProtection="false">
      <alignment horizontal="general" vertical="center" textRotation="0" wrapText="false" indent="0" shrinkToFit="false"/>
      <protection locked="true" hidden="false"/>
    </xf>
    <xf numFmtId="164" fontId="9" fillId="0" borderId="0" xfId="0" applyFont="true" applyBorder="false" applyAlignment="true" applyProtection="false">
      <alignment horizontal="center" vertical="bottom" textRotation="0" wrapText="false" indent="0" shrinkToFit="false"/>
      <protection locked="true" hidden="false"/>
    </xf>
    <xf numFmtId="165" fontId="10" fillId="4" borderId="1" xfId="0" applyFont="true" applyBorder="true" applyAlignment="true" applyProtection="false">
      <alignment horizontal="center" vertical="bottom" textRotation="0" wrapText="false" indent="0" shrinkToFit="false"/>
      <protection locked="true" hidden="false"/>
    </xf>
    <xf numFmtId="164" fontId="11" fillId="4" borderId="1" xfId="0" applyFont="true" applyBorder="true" applyAlignment="true" applyProtection="false">
      <alignment horizontal="center" vertical="center" textRotation="0" wrapText="fals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5" fontId="5" fillId="4" borderId="1" xfId="0" applyFont="true" applyBorder="true" applyAlignment="true" applyProtection="false">
      <alignment horizontal="center" vertical="center"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center" vertical="bottom" textRotation="0" wrapText="false" indent="0" shrinkToFit="false"/>
      <protection locked="true" hidden="false"/>
    </xf>
    <xf numFmtId="164" fontId="13" fillId="3" borderId="1" xfId="0" applyFont="true" applyBorder="true" applyAlignment="false" applyProtection="false">
      <alignment horizontal="general" vertical="bottom" textRotation="0" wrapText="false" indent="0" shrinkToFit="false"/>
      <protection locked="true" hidden="false"/>
    </xf>
    <xf numFmtId="164" fontId="14" fillId="0" borderId="1" xfId="0" applyFont="true" applyBorder="true" applyAlignment="true" applyProtection="false">
      <alignment horizontal="center" vertical="bottom" textRotation="0" wrapText="false" indent="0" shrinkToFit="false"/>
      <protection locked="true" hidden="false"/>
    </xf>
    <xf numFmtId="164" fontId="7" fillId="3" borderId="1"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true" applyAlignment="true" applyProtection="false">
      <alignment horizontal="general" vertical="center" textRotation="0" wrapText="true" indent="0" shrinkToFit="false"/>
      <protection locked="true" hidden="false"/>
    </xf>
    <xf numFmtId="164" fontId="7" fillId="4" borderId="2" xfId="0" applyFont="true" applyBorder="true" applyAlignment="false" applyProtection="false">
      <alignment horizontal="general" vertical="bottom" textRotation="0" wrapText="false" indent="0" shrinkToFit="false"/>
      <protection locked="true" hidden="false"/>
    </xf>
    <xf numFmtId="164" fontId="8" fillId="3" borderId="2" xfId="0" applyFont="true" applyBorder="true" applyAlignment="false" applyProtection="false">
      <alignment horizontal="general" vertical="bottom" textRotation="0" wrapText="false" indent="0" shrinkToFit="false"/>
      <protection locked="true" hidden="false"/>
    </xf>
    <xf numFmtId="164" fontId="15" fillId="4" borderId="2" xfId="0" applyFont="true" applyBorder="true" applyAlignment="false" applyProtection="false">
      <alignment horizontal="general" vertical="bottom" textRotation="0" wrapText="false" indent="0" shrinkToFit="false"/>
      <protection locked="true" hidden="false"/>
    </xf>
    <xf numFmtId="164" fontId="7" fillId="4" borderId="1" xfId="0" applyFont="true" applyBorder="true" applyAlignment="false" applyProtection="false">
      <alignment horizontal="general" vertical="bottom" textRotation="0" wrapText="false" indent="0" shrinkToFit="false"/>
      <protection locked="true" hidden="false"/>
    </xf>
    <xf numFmtId="164" fontId="15" fillId="4" borderId="1" xfId="0" applyFont="true" applyBorder="true" applyAlignment="false" applyProtection="false">
      <alignment horizontal="general" vertical="bottom" textRotation="0" wrapText="false" indent="0" shrinkToFit="false"/>
      <protection locked="true" hidden="false"/>
    </xf>
    <xf numFmtId="164" fontId="16" fillId="0" borderId="0" xfId="0" applyFont="true" applyBorder="true" applyAlignment="true" applyProtection="false">
      <alignment horizontal="general" vertical="center" textRotation="0" wrapText="true" indent="0" shrinkToFit="false"/>
      <protection locked="true" hidden="false"/>
    </xf>
    <xf numFmtId="164" fontId="5" fillId="4" borderId="2" xfId="0" applyFont="true" applyBorder="true" applyAlignment="true" applyProtection="false">
      <alignment horizontal="center" vertical="center" textRotation="0" wrapText="false" indent="0" shrinkToFit="false"/>
      <protection locked="true" hidden="false"/>
    </xf>
    <xf numFmtId="164" fontId="7" fillId="4" borderId="2" xfId="0" applyFont="true" applyBorder="true" applyAlignment="true" applyProtection="false">
      <alignment horizontal="center" vertical="center" textRotation="0" wrapText="false" indent="0" shrinkToFit="false"/>
      <protection locked="true" hidden="false"/>
    </xf>
    <xf numFmtId="164" fontId="17" fillId="4" borderId="2" xfId="0" applyFont="true" applyBorder="true" applyAlignment="false" applyProtection="false">
      <alignment horizontal="general" vertical="bottom" textRotation="0" wrapText="false" indent="0" shrinkToFit="false"/>
      <protection locked="true" hidden="false"/>
    </xf>
    <xf numFmtId="164" fontId="18" fillId="3" borderId="2" xfId="0" applyFont="true" applyBorder="true" applyAlignment="true" applyProtection="false">
      <alignment horizontal="center" vertical="center" textRotation="0" wrapText="false" indent="0" shrinkToFit="false"/>
      <protection locked="true" hidden="false"/>
    </xf>
    <xf numFmtId="164" fontId="19" fillId="4" borderId="2" xfId="0" applyFont="true" applyBorder="true" applyAlignment="true" applyProtection="false">
      <alignment horizontal="center" vertical="center" textRotation="0" wrapText="false" indent="0" shrinkToFit="false"/>
      <protection locked="true" hidden="false"/>
    </xf>
    <xf numFmtId="164" fontId="7" fillId="4" borderId="1" xfId="0" applyFont="true" applyBorder="true" applyAlignment="true" applyProtection="false">
      <alignment horizontal="center" vertical="center" textRotation="0" wrapText="false" indent="0" shrinkToFit="false"/>
      <protection locked="true" hidden="false"/>
    </xf>
    <xf numFmtId="164" fontId="17" fillId="4" borderId="1" xfId="0" applyFont="true" applyBorder="true" applyAlignment="false" applyProtection="false">
      <alignment horizontal="general" vertical="bottom" textRotation="0" wrapText="false" indent="0" shrinkToFit="false"/>
      <protection locked="true" hidden="false"/>
    </xf>
    <xf numFmtId="164" fontId="18" fillId="3" borderId="1" xfId="0" applyFont="true" applyBorder="true" applyAlignment="true" applyProtection="false">
      <alignment horizontal="center" vertical="center" textRotation="0" wrapText="false" indent="0" shrinkToFit="false"/>
      <protection locked="true" hidden="false"/>
    </xf>
    <xf numFmtId="164" fontId="19" fillId="4" borderId="1" xfId="0" applyFont="true" applyBorder="true" applyAlignment="true" applyProtection="false">
      <alignment horizontal="center" vertical="center" textRotation="0" wrapText="false" indent="0" shrinkToFit="false"/>
      <protection locked="true" hidden="false"/>
    </xf>
    <xf numFmtId="164" fontId="5" fillId="4" borderId="1" xfId="0" applyFont="true" applyBorder="true" applyAlignment="true" applyProtection="false">
      <alignment horizontal="center" vertical="center" textRotation="0" wrapText="false" indent="0" shrinkToFit="false"/>
      <protection locked="true" hidden="false"/>
    </xf>
    <xf numFmtId="165" fontId="20" fillId="4" borderId="1" xfId="0" applyFont="true" applyBorder="true" applyAlignment="true" applyProtection="false">
      <alignment horizontal="center" vertical="center" textRotation="0" wrapText="false" indent="0" shrinkToFit="false"/>
      <protection locked="true" hidden="false"/>
    </xf>
    <xf numFmtId="165" fontId="8" fillId="4" borderId="1" xfId="0" applyFont="true" applyBorder="true" applyAlignment="true" applyProtection="false">
      <alignment horizontal="center" vertical="center" textRotation="0" wrapText="false" indent="0" shrinkToFit="false"/>
      <protection locked="true" hidden="false"/>
    </xf>
    <xf numFmtId="165" fontId="21" fillId="4" borderId="1" xfId="0" applyFont="true" applyBorder="true" applyAlignment="true" applyProtection="false">
      <alignment horizontal="center" vertical="center" textRotation="0" wrapText="false" indent="0" shrinkToFit="false"/>
      <protection locked="true" hidden="false"/>
    </xf>
    <xf numFmtId="164" fontId="8" fillId="3" borderId="1" xfId="0" applyFont="true" applyBorder="true" applyAlignment="true" applyProtection="false">
      <alignment horizontal="center" vertical="center" textRotation="0" wrapText="false" indent="0" shrinkToFit="false"/>
      <protection locked="true" hidden="false"/>
    </xf>
    <xf numFmtId="165" fontId="15" fillId="4" borderId="1" xfId="0" applyFont="true" applyBorder="true" applyAlignment="true" applyProtection="false">
      <alignment horizontal="center" vertical="center" textRotation="0" wrapText="false" indent="0" shrinkToFit="false"/>
      <protection locked="true" hidden="false"/>
    </xf>
    <xf numFmtId="164" fontId="22" fillId="0" borderId="0" xfId="0" applyFont="true" applyBorder="true" applyAlignment="true" applyProtection="false">
      <alignment horizontal="general" vertical="center" textRotation="0" wrapText="true" indent="0" shrinkToFit="false"/>
      <protection locked="true" hidden="false"/>
    </xf>
    <xf numFmtId="164" fontId="23" fillId="0" borderId="1" xfId="0" applyFont="true" applyBorder="true" applyAlignment="false" applyProtection="false">
      <alignment horizontal="general" vertical="bottom" textRotation="0" wrapText="false" indent="0" shrinkToFit="false"/>
      <protection locked="true" hidden="false"/>
    </xf>
    <xf numFmtId="164" fontId="21" fillId="4" borderId="1" xfId="0" applyFont="true" applyBorder="true" applyAlignment="true" applyProtection="false">
      <alignment horizontal="general" vertical="center" textRotation="0" wrapText="false" indent="1"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10" fillId="4" borderId="1" xfId="0" applyFont="true" applyBorder="true" applyAlignment="true" applyProtection="false">
      <alignment horizontal="general" vertical="center" textRotation="0" wrapText="false" indent="1" shrinkToFit="false"/>
      <protection locked="true" hidden="false"/>
    </xf>
    <xf numFmtId="164" fontId="11" fillId="4" borderId="1" xfId="0" applyFont="true" applyBorder="true" applyAlignment="false" applyProtection="false">
      <alignment horizontal="general" vertical="bottom" textRotation="0" wrapText="false" indent="0" shrinkToFit="false"/>
      <protection locked="true" hidden="false"/>
    </xf>
    <xf numFmtId="164" fontId="8" fillId="4" borderId="1" xfId="0" applyFont="true" applyBorder="true" applyAlignment="fals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center" vertical="center" textRotation="0" wrapText="false" indent="0" shrinkToFit="false"/>
      <protection locked="true" hidden="false"/>
    </xf>
    <xf numFmtId="164" fontId="5" fillId="4" borderId="1" xfId="0" applyFont="true" applyBorder="true" applyAlignment="false" applyProtection="false">
      <alignment horizontal="general" vertical="bottom" textRotation="0" wrapText="false" indent="0" shrinkToFit="false"/>
      <protection locked="true" hidden="false"/>
    </xf>
    <xf numFmtId="165" fontId="24" fillId="4" borderId="1" xfId="0" applyFont="true" applyBorder="true" applyAlignment="true" applyProtection="false">
      <alignment horizontal="center" vertical="center" textRotation="0" wrapText="false" indent="0" shrinkToFit="false"/>
      <protection locked="true" hidden="false"/>
    </xf>
    <xf numFmtId="164" fontId="25" fillId="4" borderId="1" xfId="0" applyFont="true" applyBorder="true" applyAlignment="false" applyProtection="false">
      <alignment horizontal="general" vertical="bottom" textRotation="0" wrapText="false" indent="0" shrinkToFit="false"/>
      <protection locked="true" hidden="false"/>
    </xf>
    <xf numFmtId="164" fontId="11" fillId="4" borderId="2" xfId="0" applyFont="true" applyBorder="true" applyAlignment="false" applyProtection="false">
      <alignment horizontal="general" vertical="bottom" textRotation="0" wrapText="false" indent="0" shrinkToFit="false"/>
      <protection locked="true" hidden="false"/>
    </xf>
    <xf numFmtId="164" fontId="8" fillId="4" borderId="2" xfId="0" applyFont="true" applyBorder="true" applyAlignment="false" applyProtection="false">
      <alignment horizontal="general" vertical="bottom" textRotation="0" wrapText="false" indent="0" shrinkToFit="false"/>
      <protection locked="true" hidden="false"/>
    </xf>
    <xf numFmtId="164" fontId="7" fillId="3" borderId="2" xfId="0" applyFont="true" applyBorder="true" applyAlignment="true" applyProtection="false">
      <alignment horizontal="center" vertical="center" textRotation="0" wrapText="false" indent="0" shrinkToFit="false"/>
      <protection locked="true" hidden="false"/>
    </xf>
    <xf numFmtId="164" fontId="5" fillId="4" borderId="2" xfId="0" applyFont="true" applyBorder="true" applyAlignment="false" applyProtection="false">
      <alignment horizontal="general" vertical="bottom" textRotation="0" wrapText="false" indent="0" shrinkToFit="false"/>
      <protection locked="true" hidden="false"/>
    </xf>
    <xf numFmtId="165" fontId="24" fillId="4" borderId="2" xfId="0" applyFont="true" applyBorder="true" applyAlignment="true" applyProtection="false">
      <alignment horizontal="center" vertical="center" textRotation="0" wrapText="false" indent="0" shrinkToFit="false"/>
      <protection locked="true" hidden="false"/>
    </xf>
    <xf numFmtId="164" fontId="25" fillId="4" borderId="2" xfId="0" applyFont="true" applyBorder="true" applyAlignment="false" applyProtection="false">
      <alignment horizontal="general" vertical="bottom" textRotation="0" wrapText="false" indent="0" shrinkToFit="false"/>
      <protection locked="true" hidden="false"/>
    </xf>
    <xf numFmtId="166" fontId="8" fillId="3" borderId="1" xfId="0" applyFont="true" applyBorder="true" applyAlignment="true" applyProtection="false">
      <alignment horizontal="center" vertical="center" textRotation="0" wrapText="false" indent="0" shrinkToFit="false"/>
      <protection locked="true" hidden="false"/>
    </xf>
    <xf numFmtId="166" fontId="8" fillId="4" borderId="1" xfId="0" applyFont="true" applyBorder="true" applyAlignment="false" applyProtection="false">
      <alignment horizontal="general" vertical="bottom" textRotation="0" wrapText="false" indent="0" shrinkToFit="false"/>
      <protection locked="true" hidden="false"/>
    </xf>
    <xf numFmtId="164" fontId="5" fillId="3" borderId="1" xfId="0" applyFont="true" applyBorder="true" applyAlignment="false" applyProtection="false">
      <alignment horizontal="general" vertical="bottom" textRotation="0" wrapText="false" indent="0" shrinkToFit="false"/>
      <protection locked="true" hidden="false"/>
    </xf>
    <xf numFmtId="166" fontId="8" fillId="4" borderId="1" xfId="0" applyFont="true" applyBorder="true" applyAlignment="true" applyProtection="false">
      <alignment horizontal="center" vertical="center" textRotation="0" wrapText="false" indent="0" shrinkToFit="false"/>
      <protection locked="true" hidden="false"/>
    </xf>
    <xf numFmtId="164" fontId="26" fillId="2" borderId="1" xfId="0" applyFont="true" applyBorder="true" applyAlignment="false" applyProtection="false">
      <alignment horizontal="general" vertical="bottom" textRotation="0" wrapText="false" indent="0" shrinkToFit="false"/>
      <protection locked="true" hidden="false"/>
    </xf>
    <xf numFmtId="166" fontId="26" fillId="2" borderId="1" xfId="0" applyFont="true" applyBorder="true" applyAlignment="false" applyProtection="false">
      <alignment horizontal="general" vertical="bottom" textRotation="0" wrapText="false" indent="0" shrinkToFit="false"/>
      <protection locked="true" hidden="false"/>
    </xf>
    <xf numFmtId="166" fontId="7" fillId="4" borderId="1" xfId="0" applyFont="true" applyBorder="true" applyAlignment="false" applyProtection="false">
      <alignment horizontal="general" vertical="bottom" textRotation="0" wrapText="false" indent="0" shrinkToFit="false"/>
      <protection locked="true" hidden="false"/>
    </xf>
    <xf numFmtId="166" fontId="21" fillId="4" borderId="1" xfId="0" applyFont="true" applyBorder="true" applyAlignment="false" applyProtection="false">
      <alignment horizontal="general" vertical="bottom" textRotation="0" wrapText="fals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xf numFmtId="166" fontId="27" fillId="4" borderId="1" xfId="0" applyFont="true" applyBorder="true" applyAlignment="true" applyProtection="false">
      <alignment horizontal="center" vertical="center" textRotation="0" wrapText="false" indent="0" shrinkToFit="false"/>
      <protection locked="true" hidden="false"/>
    </xf>
    <xf numFmtId="167" fontId="27" fillId="4" borderId="1" xfId="0" applyFont="true" applyBorder="true" applyAlignment="true" applyProtection="false">
      <alignment horizontal="center" vertical="center" textRotation="0" wrapText="false" indent="0" shrinkToFit="false"/>
      <protection locked="true" hidden="false"/>
    </xf>
    <xf numFmtId="164" fontId="27" fillId="4" borderId="1" xfId="0" applyFont="true" applyBorder="true" applyAlignment="true" applyProtection="false">
      <alignment horizontal="center" vertical="center" textRotation="0" wrapText="false" indent="0" shrinkToFit="false"/>
      <protection locked="true" hidden="false"/>
    </xf>
    <xf numFmtId="166" fontId="7" fillId="3" borderId="1" xfId="0" applyFont="true" applyBorder="true" applyAlignment="true" applyProtection="false">
      <alignment horizontal="center" vertical="center" textRotation="0" wrapText="false" indent="0" shrinkToFit="false"/>
      <protection locked="true" hidden="false"/>
    </xf>
    <xf numFmtId="164" fontId="6" fillId="4" borderId="1" xfId="0" applyFont="true" applyBorder="true" applyAlignment="true" applyProtection="false">
      <alignment horizontal="center" vertical="center" textRotation="0" wrapText="false" indent="0" shrinkToFit="false"/>
      <protection locked="true" hidden="false"/>
    </xf>
    <xf numFmtId="164" fontId="17" fillId="3" borderId="1" xfId="0" applyFont="true" applyBorder="true" applyAlignment="false" applyProtection="false">
      <alignment horizontal="general" vertical="bottom" textRotation="0" wrapText="false" indent="0" shrinkToFit="false"/>
      <protection locked="true" hidden="false"/>
    </xf>
    <xf numFmtId="164" fontId="6" fillId="4" borderId="1" xfId="0" applyFont="true" applyBorder="true" applyAlignment="false" applyProtection="false">
      <alignment horizontal="general" vertical="bottom" textRotation="0" wrapText="false" indent="0" shrinkToFit="false"/>
      <protection locked="true" hidden="false"/>
    </xf>
    <xf numFmtId="164" fontId="18" fillId="4" borderId="1" xfId="0" applyFont="true" applyBorder="true" applyAlignment="false" applyProtection="false">
      <alignment horizontal="general"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19" fillId="4" borderId="1" xfId="0" applyFont="true" applyBorder="true" applyAlignment="false" applyProtection="false">
      <alignment horizontal="general" vertical="bottom" textRotation="0" wrapText="false" indent="0" shrinkToFit="false"/>
      <protection locked="true" hidden="false"/>
    </xf>
    <xf numFmtId="164" fontId="17" fillId="3" borderId="1" xfId="0" applyFont="true" applyBorder="true" applyAlignment="true" applyProtection="false">
      <alignment horizontal="lef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ont>
        <name val="Arial"/>
        <charset val="1"/>
        <family val="0"/>
        <b val="1"/>
        <color rgb="FFC0392B"/>
        <sz val="10"/>
      </font>
    </dxf>
    <dxf>
      <font>
        <name val="Arial"/>
        <charset val="1"/>
        <family val="0"/>
        <b val="1"/>
        <color rgb="FFC0392B"/>
        <sz val="9"/>
      </font>
      <fill>
        <patternFill>
          <bgColor rgb="FFFBE3E0"/>
        </patternFill>
      </fill>
    </dxf>
    <dxf>
      <fill>
        <patternFill>
          <bgColor rgb="FFFFF3D4"/>
        </patternFill>
      </fill>
    </dxf>
    <dxf>
      <fill>
        <patternFill>
          <bgColor rgb="FFFBE3E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9C2BB"/>
      <rgbColor rgb="FF6B7A72"/>
      <rgbColor rgb="FF9999FF"/>
      <rgbColor rgb="FF993366"/>
      <rgbColor rgb="FFFFF6D9"/>
      <rgbColor rgb="FFF0F2F0"/>
      <rgbColor rgb="FF660066"/>
      <rgbColor rgb="FFFF8080"/>
      <rgbColor rgb="FF0066CC"/>
      <rgbColor rgb="FFC7D0CA"/>
      <rgbColor rgb="FF000080"/>
      <rgbColor rgb="FFFF00FF"/>
      <rgbColor rgb="FFFFFF00"/>
      <rgbColor rgb="FF00FFFF"/>
      <rgbColor rgb="FF800080"/>
      <rgbColor rgb="FF800000"/>
      <rgbColor rgb="FF008080"/>
      <rgbColor rgb="FF0000FF"/>
      <rgbColor rgb="FF00CCFF"/>
      <rgbColor rgb="FFCCFFFF"/>
      <rgbColor rgb="FFCCFFCC"/>
      <rgbColor rgb="FFFFF3D4"/>
      <rgbColor rgb="FF99CCFF"/>
      <rgbColor rgb="FFFF99CC"/>
      <rgbColor rgb="FFCC99FF"/>
      <rgbColor rgb="FFFBE3E0"/>
      <rgbColor rgb="FF3366FF"/>
      <rgbColor rgb="FF33CCCC"/>
      <rgbColor rgb="FF99CC00"/>
      <rgbColor rgb="FFFFCC00"/>
      <rgbColor rgb="FFFF9900"/>
      <rgbColor rgb="FFC0692A"/>
      <rgbColor rgb="FF666699"/>
      <rgbColor rgb="FF969696"/>
      <rgbColor rgb="FF0E5A42"/>
      <rgbColor rgb="FF339966"/>
      <rgbColor rgb="FF17211C"/>
      <rgbColor rgb="FF333300"/>
      <rgbColor rgb="FFC0392B"/>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E5A42"/>
    <pageSetUpPr fitToPage="false"/>
  </sheetPr>
  <dimension ref="A1:H6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4"/>
    <col collapsed="false" customWidth="true" hidden="false" outlineLevel="0" max="3" min="3" style="0" width="20"/>
    <col collapsed="false" customWidth="true" hidden="false" outlineLevel="0" max="8" min="4" style="0" width="16"/>
  </cols>
  <sheetData>
    <row r="1" customFormat="false" ht="30" hidden="false" customHeight="true" outlineLevel="0" collapsed="false">
      <c r="A1" s="1" t="s">
        <v>0</v>
      </c>
      <c r="B1" s="1"/>
      <c r="C1" s="1"/>
      <c r="D1" s="1"/>
      <c r="E1" s="1"/>
      <c r="F1" s="1"/>
      <c r="G1" s="1"/>
      <c r="H1" s="1"/>
    </row>
    <row r="2" customFormat="false" ht="16.5" hidden="false" customHeight="true" outlineLevel="0" collapsed="false">
      <c r="A2" s="2" t="s">
        <v>1</v>
      </c>
      <c r="B2" s="2"/>
      <c r="C2" s="2"/>
      <c r="D2" s="2"/>
      <c r="E2" s="2"/>
      <c r="F2" s="2"/>
      <c r="G2" s="2"/>
      <c r="H2" s="2"/>
    </row>
    <row r="4" customFormat="false" ht="21.75" hidden="false" customHeight="true" outlineLevel="0" collapsed="false">
      <c r="A4" s="3" t="s">
        <v>2</v>
      </c>
      <c r="B4" s="3"/>
      <c r="C4" s="3"/>
      <c r="D4" s="3"/>
      <c r="E4" s="3"/>
      <c r="F4" s="3"/>
      <c r="G4" s="3"/>
      <c r="H4" s="3"/>
    </row>
    <row r="5" customFormat="false" ht="15" hidden="false" customHeight="false" outlineLevel="0" collapsed="false">
      <c r="B5" s="4" t="s">
        <v>3</v>
      </c>
      <c r="C5" s="5" t="s">
        <v>4</v>
      </c>
      <c r="D5" s="5"/>
      <c r="E5" s="5"/>
      <c r="F5" s="5"/>
    </row>
    <row r="6" customFormat="false" ht="15" hidden="false" customHeight="false" outlineLevel="0" collapsed="false">
      <c r="B6" s="4" t="s">
        <v>5</v>
      </c>
      <c r="C6" s="5" t="s">
        <v>6</v>
      </c>
      <c r="D6" s="5"/>
      <c r="E6" s="5"/>
      <c r="F6" s="5"/>
    </row>
    <row r="7" customFormat="false" ht="15" hidden="false" customHeight="false" outlineLevel="0" collapsed="false">
      <c r="B7" s="4" t="s">
        <v>7</v>
      </c>
      <c r="C7" s="5" t="s">
        <v>8</v>
      </c>
      <c r="D7" s="5"/>
      <c r="E7" s="5"/>
      <c r="F7" s="5"/>
    </row>
    <row r="8" customFormat="false" ht="15" hidden="false" customHeight="false" outlineLevel="0" collapsed="false">
      <c r="B8" s="4" t="s">
        <v>9</v>
      </c>
      <c r="C8" s="5" t="s">
        <v>10</v>
      </c>
      <c r="D8" s="5"/>
      <c r="E8" s="5"/>
      <c r="F8" s="5"/>
    </row>
    <row r="9" customFormat="false" ht="15" hidden="false" customHeight="false" outlineLevel="0" collapsed="false">
      <c r="B9" s="4" t="s">
        <v>11</v>
      </c>
      <c r="C9" s="5" t="n">
        <v>4</v>
      </c>
      <c r="D9" s="5"/>
      <c r="E9" s="5"/>
      <c r="F9" s="5"/>
    </row>
    <row r="10" customFormat="false" ht="15" hidden="false" customHeight="false" outlineLevel="0" collapsed="false">
      <c r="B10" s="4" t="s">
        <v>12</v>
      </c>
      <c r="C10" s="5" t="n">
        <v>3</v>
      </c>
      <c r="D10" s="5"/>
      <c r="E10" s="5"/>
      <c r="F10" s="5"/>
    </row>
    <row r="11" customFormat="false" ht="15" hidden="false" customHeight="false" outlineLevel="0" collapsed="false">
      <c r="B11" s="4" t="s">
        <v>13</v>
      </c>
      <c r="C11" s="5" t="s">
        <v>14</v>
      </c>
      <c r="D11" s="5"/>
      <c r="E11" s="5"/>
      <c r="F11" s="5"/>
    </row>
    <row r="12" customFormat="false" ht="15" hidden="false" customHeight="false" outlineLevel="0" collapsed="false">
      <c r="B12" s="4" t="s">
        <v>15</v>
      </c>
      <c r="C12" s="5" t="s">
        <v>16</v>
      </c>
      <c r="D12" s="5"/>
      <c r="E12" s="5"/>
      <c r="F12" s="5"/>
    </row>
    <row r="13" customFormat="false" ht="15" hidden="false" customHeight="false" outlineLevel="0" collapsed="false">
      <c r="B13" s="4" t="s">
        <v>17</v>
      </c>
      <c r="C13" s="5" t="s">
        <v>18</v>
      </c>
      <c r="D13" s="5"/>
      <c r="E13" s="5"/>
      <c r="F13" s="5"/>
    </row>
    <row r="14" customFormat="false" ht="15" hidden="false" customHeight="false" outlineLevel="0" collapsed="false">
      <c r="B14" s="4" t="s">
        <v>19</v>
      </c>
      <c r="C14" s="5" t="s">
        <v>20</v>
      </c>
      <c r="D14" s="5"/>
      <c r="E14" s="5"/>
      <c r="F14" s="5"/>
    </row>
    <row r="16" customFormat="false" ht="24" hidden="false" customHeight="true" outlineLevel="0" collapsed="false">
      <c r="B16" s="6" t="s">
        <v>21</v>
      </c>
      <c r="C16" s="6"/>
      <c r="D16" s="6"/>
      <c r="E16" s="6"/>
      <c r="F16" s="6"/>
      <c r="G16" s="6"/>
      <c r="H16" s="6"/>
    </row>
    <row r="17" customFormat="false" ht="15.75" hidden="false" customHeight="true" outlineLevel="0" collapsed="false">
      <c r="B17" s="7" t="s">
        <v>22</v>
      </c>
      <c r="C17" s="7"/>
      <c r="D17" s="7"/>
      <c r="E17" s="7"/>
      <c r="F17" s="7"/>
      <c r="G17" s="7"/>
      <c r="H17" s="7"/>
    </row>
    <row r="18" customFormat="false" ht="15.75" hidden="false" customHeight="true" outlineLevel="0" collapsed="false">
      <c r="B18" s="7" t="s">
        <v>23</v>
      </c>
      <c r="C18" s="7"/>
      <c r="D18" s="7"/>
      <c r="E18" s="7"/>
      <c r="F18" s="7"/>
      <c r="G18" s="7"/>
      <c r="H18" s="7"/>
    </row>
    <row r="19" customFormat="false" ht="15.75" hidden="false" customHeight="true" outlineLevel="0" collapsed="false">
      <c r="B19" s="7" t="s">
        <v>24</v>
      </c>
      <c r="C19" s="7"/>
      <c r="D19" s="7"/>
      <c r="E19" s="7"/>
      <c r="F19" s="7"/>
      <c r="G19" s="7"/>
      <c r="H19" s="7"/>
    </row>
    <row r="20" customFormat="false" ht="15.75" hidden="false" customHeight="true" outlineLevel="0" collapsed="false">
      <c r="B20" s="7" t="s">
        <v>25</v>
      </c>
      <c r="C20" s="7"/>
      <c r="D20" s="7"/>
      <c r="E20" s="7"/>
      <c r="F20" s="7"/>
      <c r="G20" s="7"/>
      <c r="H20" s="7"/>
    </row>
    <row r="21" customFormat="false" ht="15.75" hidden="false" customHeight="true" outlineLevel="0" collapsed="false">
      <c r="B21" s="7" t="s">
        <v>26</v>
      </c>
      <c r="C21" s="7"/>
      <c r="D21" s="7"/>
      <c r="E21" s="7"/>
      <c r="F21" s="7"/>
      <c r="G21" s="7"/>
      <c r="H21" s="7"/>
    </row>
    <row r="22" customFormat="false" ht="15.75" hidden="false" customHeight="true" outlineLevel="0" collapsed="false">
      <c r="B22" s="7" t="s">
        <v>27</v>
      </c>
      <c r="C22" s="7"/>
      <c r="D22" s="7"/>
      <c r="E22" s="7"/>
      <c r="F22" s="7"/>
      <c r="G22" s="7"/>
      <c r="H22" s="7"/>
    </row>
    <row r="23" customFormat="false" ht="15.75" hidden="false" customHeight="true" outlineLevel="0" collapsed="false">
      <c r="B23" s="7" t="s">
        <v>28</v>
      </c>
      <c r="C23" s="7"/>
      <c r="D23" s="7"/>
      <c r="E23" s="7"/>
      <c r="F23" s="7"/>
      <c r="G23" s="7"/>
      <c r="H23" s="7"/>
    </row>
    <row r="25" customFormat="false" ht="24" hidden="false" customHeight="true" outlineLevel="0" collapsed="false">
      <c r="B25" s="6" t="s">
        <v>29</v>
      </c>
      <c r="C25" s="6"/>
      <c r="D25" s="6"/>
      <c r="E25" s="6"/>
      <c r="F25" s="6"/>
      <c r="G25" s="6"/>
      <c r="H25" s="6"/>
    </row>
    <row r="26" customFormat="false" ht="15.75" hidden="false" customHeight="true" outlineLevel="0" collapsed="false">
      <c r="B26" s="7" t="s">
        <v>30</v>
      </c>
      <c r="C26" s="7"/>
      <c r="D26" s="7"/>
      <c r="E26" s="7"/>
      <c r="F26" s="7"/>
      <c r="G26" s="7"/>
      <c r="H26" s="7"/>
    </row>
    <row r="27" customFormat="false" ht="15.75" hidden="false" customHeight="true" outlineLevel="0" collapsed="false">
      <c r="B27" s="7" t="s">
        <v>31</v>
      </c>
      <c r="C27" s="7"/>
      <c r="D27" s="7"/>
      <c r="E27" s="7"/>
      <c r="F27" s="7"/>
      <c r="G27" s="7"/>
      <c r="H27" s="7"/>
    </row>
    <row r="28" customFormat="false" ht="15.75" hidden="false" customHeight="true" outlineLevel="0" collapsed="false">
      <c r="B28" s="7" t="s">
        <v>32</v>
      </c>
      <c r="C28" s="7"/>
      <c r="D28" s="7"/>
      <c r="E28" s="7"/>
      <c r="F28" s="7"/>
      <c r="G28" s="7"/>
      <c r="H28" s="7"/>
    </row>
    <row r="29" customFormat="false" ht="15.75" hidden="false" customHeight="true" outlineLevel="0" collapsed="false">
      <c r="B29" s="7" t="s">
        <v>33</v>
      </c>
      <c r="C29" s="7"/>
      <c r="D29" s="7"/>
      <c r="E29" s="7"/>
      <c r="F29" s="7"/>
      <c r="G29" s="7"/>
      <c r="H29" s="7"/>
    </row>
    <row r="31" customFormat="false" ht="24" hidden="false" customHeight="true" outlineLevel="0" collapsed="false">
      <c r="B31" s="6" t="s">
        <v>34</v>
      </c>
      <c r="C31" s="6"/>
      <c r="D31" s="6"/>
      <c r="E31" s="6"/>
      <c r="F31" s="6"/>
      <c r="G31" s="6"/>
      <c r="H31" s="6"/>
    </row>
    <row r="32" customFormat="false" ht="15.75" hidden="false" customHeight="true" outlineLevel="0" collapsed="false">
      <c r="B32" s="7" t="s">
        <v>35</v>
      </c>
      <c r="C32" s="7"/>
      <c r="D32" s="7"/>
      <c r="E32" s="7"/>
      <c r="F32" s="7"/>
      <c r="G32" s="7"/>
      <c r="H32" s="7"/>
    </row>
    <row r="33" customFormat="false" ht="15.75" hidden="false" customHeight="true" outlineLevel="0" collapsed="false">
      <c r="B33" s="7" t="s">
        <v>36</v>
      </c>
      <c r="C33" s="7"/>
      <c r="D33" s="7"/>
      <c r="E33" s="7"/>
      <c r="F33" s="7"/>
      <c r="G33" s="7"/>
      <c r="H33" s="7"/>
    </row>
    <row r="34" customFormat="false" ht="15.75" hidden="false" customHeight="true" outlineLevel="0" collapsed="false">
      <c r="B34" s="7" t="s">
        <v>37</v>
      </c>
      <c r="C34" s="7"/>
      <c r="D34" s="7"/>
      <c r="E34" s="7"/>
      <c r="F34" s="7"/>
      <c r="G34" s="7"/>
      <c r="H34" s="7"/>
    </row>
    <row r="36" customFormat="false" ht="24" hidden="false" customHeight="true" outlineLevel="0" collapsed="false">
      <c r="B36" s="6" t="s">
        <v>38</v>
      </c>
      <c r="C36" s="6"/>
      <c r="D36" s="6"/>
      <c r="E36" s="6"/>
      <c r="F36" s="6"/>
      <c r="G36" s="6"/>
      <c r="H36" s="6"/>
    </row>
    <row r="37" customFormat="false" ht="15.75" hidden="false" customHeight="true" outlineLevel="0" collapsed="false">
      <c r="B37" s="7" t="s">
        <v>39</v>
      </c>
      <c r="C37" s="7"/>
      <c r="D37" s="7"/>
      <c r="E37" s="7"/>
      <c r="F37" s="7"/>
      <c r="G37" s="7"/>
      <c r="H37" s="7"/>
    </row>
    <row r="38" customFormat="false" ht="15.75" hidden="false" customHeight="true" outlineLevel="0" collapsed="false">
      <c r="B38" s="7" t="s">
        <v>40</v>
      </c>
      <c r="C38" s="7"/>
      <c r="D38" s="7"/>
      <c r="E38" s="7"/>
      <c r="F38" s="7"/>
      <c r="G38" s="7"/>
      <c r="H38" s="7"/>
    </row>
    <row r="40" customFormat="false" ht="24" hidden="false" customHeight="true" outlineLevel="0" collapsed="false">
      <c r="B40" s="6" t="s">
        <v>41</v>
      </c>
      <c r="C40" s="6"/>
      <c r="D40" s="6"/>
      <c r="E40" s="6"/>
      <c r="F40" s="6"/>
      <c r="G40" s="6"/>
      <c r="H40" s="6"/>
    </row>
    <row r="41" customFormat="false" ht="15.75" hidden="false" customHeight="true" outlineLevel="0" collapsed="false">
      <c r="B41" s="7" t="s">
        <v>42</v>
      </c>
      <c r="C41" s="7"/>
      <c r="D41" s="7"/>
      <c r="E41" s="7"/>
      <c r="F41" s="7"/>
      <c r="G41" s="7"/>
      <c r="H41" s="7"/>
    </row>
    <row r="42" customFormat="false" ht="15.75" hidden="false" customHeight="true" outlineLevel="0" collapsed="false">
      <c r="B42" s="7" t="s">
        <v>43</v>
      </c>
      <c r="C42" s="7"/>
      <c r="D42" s="7"/>
      <c r="E42" s="7"/>
      <c r="F42" s="7"/>
      <c r="G42" s="7"/>
      <c r="H42" s="7"/>
    </row>
    <row r="43" customFormat="false" ht="15.75" hidden="false" customHeight="true" outlineLevel="0" collapsed="false">
      <c r="B43" s="7" t="s">
        <v>44</v>
      </c>
      <c r="C43" s="7"/>
      <c r="D43" s="7"/>
      <c r="E43" s="7"/>
      <c r="F43" s="7"/>
      <c r="G43" s="7"/>
      <c r="H43" s="7"/>
    </row>
    <row r="44" customFormat="false" ht="15.75" hidden="false" customHeight="true" outlineLevel="0" collapsed="false">
      <c r="B44" s="7" t="s">
        <v>45</v>
      </c>
      <c r="C44" s="7"/>
      <c r="D44" s="7"/>
      <c r="E44" s="7"/>
      <c r="F44" s="7"/>
      <c r="G44" s="7"/>
      <c r="H44" s="7"/>
    </row>
    <row r="45" customFormat="false" ht="15.75" hidden="false" customHeight="true" outlineLevel="0" collapsed="false">
      <c r="B45" s="7" t="s">
        <v>46</v>
      </c>
      <c r="C45" s="7"/>
      <c r="D45" s="7"/>
      <c r="E45" s="7"/>
      <c r="F45" s="7"/>
      <c r="G45" s="7"/>
      <c r="H45" s="7"/>
    </row>
    <row r="46" customFormat="false" ht="15.75" hidden="false" customHeight="true" outlineLevel="0" collapsed="false">
      <c r="B46" s="7" t="s">
        <v>47</v>
      </c>
      <c r="C46" s="7"/>
      <c r="D46" s="7"/>
      <c r="E46" s="7"/>
      <c r="F46" s="7"/>
      <c r="G46" s="7"/>
      <c r="H46" s="7"/>
    </row>
    <row r="48" customFormat="false" ht="24" hidden="false" customHeight="true" outlineLevel="0" collapsed="false">
      <c r="B48" s="6" t="s">
        <v>48</v>
      </c>
      <c r="C48" s="6"/>
      <c r="D48" s="6"/>
      <c r="E48" s="6"/>
      <c r="F48" s="6"/>
      <c r="G48" s="6"/>
      <c r="H48" s="6"/>
    </row>
    <row r="49" customFormat="false" ht="15.75" hidden="false" customHeight="true" outlineLevel="0" collapsed="false">
      <c r="B49" s="7" t="s">
        <v>49</v>
      </c>
      <c r="C49" s="7"/>
      <c r="D49" s="7"/>
      <c r="E49" s="7"/>
      <c r="F49" s="7"/>
      <c r="G49" s="7"/>
      <c r="H49" s="7"/>
    </row>
    <row r="50" customFormat="false" ht="15.75" hidden="false" customHeight="true" outlineLevel="0" collapsed="false">
      <c r="B50" s="7" t="s">
        <v>50</v>
      </c>
      <c r="C50" s="7"/>
      <c r="D50" s="7"/>
      <c r="E50" s="7"/>
      <c r="F50" s="7"/>
      <c r="G50" s="7"/>
      <c r="H50" s="7"/>
    </row>
    <row r="51" customFormat="false" ht="15.75" hidden="false" customHeight="true" outlineLevel="0" collapsed="false">
      <c r="B51" s="7" t="s">
        <v>51</v>
      </c>
      <c r="C51" s="7"/>
      <c r="D51" s="7"/>
      <c r="E51" s="7"/>
      <c r="F51" s="7"/>
      <c r="G51" s="7"/>
      <c r="H51" s="7"/>
    </row>
    <row r="52" customFormat="false" ht="15.75" hidden="false" customHeight="true" outlineLevel="0" collapsed="false">
      <c r="B52" s="7" t="s">
        <v>52</v>
      </c>
      <c r="C52" s="7"/>
      <c r="D52" s="7"/>
      <c r="E52" s="7"/>
      <c r="F52" s="7"/>
      <c r="G52" s="7"/>
      <c r="H52" s="7"/>
    </row>
    <row r="53" customFormat="false" ht="15.75" hidden="false" customHeight="true" outlineLevel="0" collapsed="false">
      <c r="B53" s="7" t="s">
        <v>53</v>
      </c>
      <c r="C53" s="7"/>
      <c r="D53" s="7"/>
      <c r="E53" s="7"/>
      <c r="F53" s="7"/>
      <c r="G53" s="7"/>
      <c r="H53" s="7"/>
    </row>
    <row r="55" customFormat="false" ht="24" hidden="false" customHeight="true" outlineLevel="0" collapsed="false">
      <c r="B55" s="6" t="s">
        <v>54</v>
      </c>
      <c r="C55" s="6"/>
      <c r="D55" s="6"/>
      <c r="E55" s="6"/>
      <c r="F55" s="6"/>
      <c r="G55" s="6"/>
      <c r="H55" s="6"/>
    </row>
    <row r="56" customFormat="false" ht="15.75" hidden="false" customHeight="true" outlineLevel="0" collapsed="false">
      <c r="B56" s="7" t="s">
        <v>55</v>
      </c>
      <c r="C56" s="7"/>
      <c r="D56" s="7"/>
      <c r="E56" s="7"/>
      <c r="F56" s="7"/>
      <c r="G56" s="7"/>
      <c r="H56" s="7"/>
    </row>
    <row r="57" customFormat="false" ht="15.75" hidden="false" customHeight="true" outlineLevel="0" collapsed="false">
      <c r="B57" s="7" t="s">
        <v>56</v>
      </c>
      <c r="C57" s="7"/>
      <c r="D57" s="7"/>
      <c r="E57" s="7"/>
      <c r="F57" s="7"/>
      <c r="G57" s="7"/>
      <c r="H57" s="7"/>
    </row>
    <row r="58" customFormat="false" ht="15.75" hidden="false" customHeight="true" outlineLevel="0" collapsed="false">
      <c r="B58" s="7" t="s">
        <v>57</v>
      </c>
      <c r="C58" s="7"/>
      <c r="D58" s="7"/>
      <c r="E58" s="7"/>
      <c r="F58" s="7"/>
      <c r="G58" s="7"/>
      <c r="H58" s="7"/>
    </row>
    <row r="59" customFormat="false" ht="15.75" hidden="false" customHeight="true" outlineLevel="0" collapsed="false">
      <c r="B59" s="7" t="s">
        <v>58</v>
      </c>
      <c r="C59" s="7"/>
      <c r="D59" s="7"/>
      <c r="E59" s="7"/>
      <c r="F59" s="7"/>
      <c r="G59" s="7"/>
      <c r="H59" s="7"/>
    </row>
    <row r="60" customFormat="false" ht="15.75" hidden="false" customHeight="true" outlineLevel="0" collapsed="false">
      <c r="B60" s="7" t="s">
        <v>59</v>
      </c>
      <c r="C60" s="7"/>
      <c r="D60" s="7"/>
      <c r="E60" s="7"/>
      <c r="F60" s="7"/>
      <c r="G60" s="7"/>
      <c r="H60" s="7"/>
    </row>
    <row r="61" customFormat="false" ht="15.75" hidden="false" customHeight="true" outlineLevel="0" collapsed="false">
      <c r="B61" s="7" t="s">
        <v>60</v>
      </c>
      <c r="C61" s="7"/>
      <c r="D61" s="7"/>
      <c r="E61" s="7"/>
      <c r="F61" s="7"/>
      <c r="G61" s="7"/>
      <c r="H61" s="7"/>
    </row>
    <row r="62" customFormat="false" ht="15.75" hidden="false" customHeight="true" outlineLevel="0" collapsed="false">
      <c r="B62" s="7" t="s">
        <v>61</v>
      </c>
      <c r="C62" s="7"/>
      <c r="D62" s="7"/>
      <c r="E62" s="7"/>
      <c r="F62" s="7"/>
      <c r="G62" s="7"/>
      <c r="H62" s="7"/>
    </row>
    <row r="63" customFormat="false" ht="15.75" hidden="false" customHeight="true" outlineLevel="0" collapsed="false">
      <c r="B63" s="7" t="s">
        <v>62</v>
      </c>
      <c r="C63" s="7"/>
      <c r="D63" s="7"/>
      <c r="E63" s="7"/>
      <c r="F63" s="7"/>
      <c r="G63" s="7"/>
      <c r="H63" s="7"/>
    </row>
    <row r="64" customFormat="false" ht="15.75" hidden="false" customHeight="true" outlineLevel="0" collapsed="false">
      <c r="B64" s="7" t="s">
        <v>63</v>
      </c>
      <c r="C64" s="7"/>
      <c r="D64" s="7"/>
      <c r="E64" s="7"/>
      <c r="F64" s="7"/>
      <c r="G64" s="7"/>
      <c r="H64" s="7"/>
    </row>
  </sheetData>
  <mergeCells count="56">
    <mergeCell ref="A1:H1"/>
    <mergeCell ref="A2:H2"/>
    <mergeCell ref="A4:H4"/>
    <mergeCell ref="C5:F5"/>
    <mergeCell ref="C6:F6"/>
    <mergeCell ref="C7:F7"/>
    <mergeCell ref="C8:F8"/>
    <mergeCell ref="C9:F9"/>
    <mergeCell ref="C10:F10"/>
    <mergeCell ref="C11:F11"/>
    <mergeCell ref="C12:F12"/>
    <mergeCell ref="C13:F13"/>
    <mergeCell ref="C14:F14"/>
    <mergeCell ref="B16:H16"/>
    <mergeCell ref="B17:H17"/>
    <mergeCell ref="B18:H18"/>
    <mergeCell ref="B19:H19"/>
    <mergeCell ref="B20:H20"/>
    <mergeCell ref="B21:H21"/>
    <mergeCell ref="B22:H22"/>
    <mergeCell ref="B23:H23"/>
    <mergeCell ref="B25:H25"/>
    <mergeCell ref="B26:H26"/>
    <mergeCell ref="B27:H27"/>
    <mergeCell ref="B28:H28"/>
    <mergeCell ref="B29:H29"/>
    <mergeCell ref="B31:H31"/>
    <mergeCell ref="B32:H32"/>
    <mergeCell ref="B33:H33"/>
    <mergeCell ref="B34:H34"/>
    <mergeCell ref="B36:H36"/>
    <mergeCell ref="B37:H37"/>
    <mergeCell ref="B38:H38"/>
    <mergeCell ref="B40:H40"/>
    <mergeCell ref="B41:H41"/>
    <mergeCell ref="B42:H42"/>
    <mergeCell ref="B43:H43"/>
    <mergeCell ref="B44:H44"/>
    <mergeCell ref="B45:H45"/>
    <mergeCell ref="B46:H46"/>
    <mergeCell ref="B48:H48"/>
    <mergeCell ref="B49:H49"/>
    <mergeCell ref="B50:H50"/>
    <mergeCell ref="B51:H51"/>
    <mergeCell ref="B52:H52"/>
    <mergeCell ref="B53:H53"/>
    <mergeCell ref="B55:H55"/>
    <mergeCell ref="B56:H56"/>
    <mergeCell ref="B57:H57"/>
    <mergeCell ref="B58:H58"/>
    <mergeCell ref="B59:H59"/>
    <mergeCell ref="B60:H60"/>
    <mergeCell ref="B61:H61"/>
    <mergeCell ref="B62:H62"/>
    <mergeCell ref="B63:H63"/>
    <mergeCell ref="B64:H6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4"/>
    <col collapsed="false" customWidth="true" hidden="false" outlineLevel="0" max="3" min="3" style="0" width="11"/>
    <col collapsed="false" customWidth="true" hidden="false" outlineLevel="0" max="4" min="4" style="0" width="16"/>
    <col collapsed="false" customWidth="true" hidden="false" outlineLevel="0" max="5" min="5" style="0" width="15"/>
    <col collapsed="false" customWidth="true" hidden="false" outlineLevel="0" max="6" min="6" style="0" width="12"/>
    <col collapsed="false" customWidth="true" hidden="false" outlineLevel="0" max="7" min="7" style="0" width="26"/>
  </cols>
  <sheetData>
    <row r="1" customFormat="false" ht="30" hidden="false" customHeight="true" outlineLevel="0" collapsed="false">
      <c r="A1" s="1" t="s">
        <v>64</v>
      </c>
      <c r="B1" s="1"/>
      <c r="C1" s="1"/>
      <c r="D1" s="1"/>
      <c r="E1" s="1"/>
      <c r="F1" s="1"/>
      <c r="G1" s="1"/>
    </row>
    <row r="2" customFormat="false" ht="16.5" hidden="false" customHeight="true" outlineLevel="0" collapsed="false">
      <c r="A2" s="2" t="s">
        <v>65</v>
      </c>
      <c r="B2" s="2"/>
      <c r="C2" s="2"/>
      <c r="D2" s="2"/>
      <c r="E2" s="2"/>
      <c r="F2" s="2"/>
      <c r="G2" s="2"/>
    </row>
    <row r="4" customFormat="false" ht="21.75" hidden="false" customHeight="true" outlineLevel="0" collapsed="false">
      <c r="A4" s="3" t="s">
        <v>66</v>
      </c>
      <c r="B4" s="3"/>
      <c r="C4" s="3"/>
      <c r="D4" s="3"/>
      <c r="E4" s="3"/>
      <c r="F4" s="3"/>
      <c r="G4" s="3"/>
    </row>
    <row r="5" customFormat="false" ht="15" hidden="false" customHeight="false" outlineLevel="0" collapsed="false">
      <c r="A5" s="8" t="s">
        <v>67</v>
      </c>
      <c r="B5" s="8" t="s">
        <v>68</v>
      </c>
      <c r="C5" s="8" t="s">
        <v>69</v>
      </c>
      <c r="D5" s="8" t="s">
        <v>70</v>
      </c>
      <c r="E5" s="8" t="s">
        <v>71</v>
      </c>
      <c r="G5" s="8" t="s">
        <v>72</v>
      </c>
    </row>
    <row r="6" customFormat="false" ht="16.15" hidden="false" customHeight="false" outlineLevel="0" collapsed="false">
      <c r="A6" s="9" t="n">
        <f aca="false">COUNTA($B$8:$B$47)</f>
        <v>1</v>
      </c>
      <c r="B6" s="9" t="n">
        <f aca="false">COUNTIF($C$8:$C$47,"Nam")</f>
        <v>1</v>
      </c>
      <c r="C6" s="9" t="n">
        <f aca="false">COUNTIF($C$8:$C$47,"Nữ")</f>
        <v>0</v>
      </c>
      <c r="D6" s="9" t="n">
        <f aca="false">COUNTIF($F$8:$F$47,"Rồi")</f>
        <v>1</v>
      </c>
      <c r="E6" s="9" t="n">
        <f aca="false">COUNTIF($F$8:$F$47,"Chưa")</f>
        <v>0</v>
      </c>
      <c r="G6" s="10" t="str">
        <f aca="false">'Đội hình'!$B$5&amp;": "&amp;COUNTIF($D$8:$D$47,'Đội hình'!$B$5)&amp;"  ·  "&amp;'Đội hình'!$B$6&amp;": "&amp;COUNTIF($D$8:$D$47,'Đội hình'!$B$6)&amp;"  ·  "&amp;'Đội hình'!$B$7&amp;": "&amp;COUNTIF($D$8:$D$47,'Đội hình'!$B$7)&amp;"  ·  "&amp;'Đội hình'!$B$8&amp;": "&amp;COUNTIF($D$8:$D$47,'Đội hình'!$B$8)</f>
        <v>Đội Đỏ: 0  ·  Đội Xanh: 0  ·  Đội Vàng: 0  ·  Đội Trắng: 0</v>
      </c>
    </row>
    <row r="7" customFormat="false" ht="30" hidden="false" customHeight="true" outlineLevel="0" collapsed="false">
      <c r="A7" s="11" t="s">
        <v>73</v>
      </c>
      <c r="B7" s="11" t="s">
        <v>74</v>
      </c>
      <c r="C7" s="11" t="s">
        <v>75</v>
      </c>
      <c r="D7" s="11" t="s">
        <v>76</v>
      </c>
      <c r="E7" s="11" t="s">
        <v>77</v>
      </c>
      <c r="F7" s="11" t="s">
        <v>15</v>
      </c>
      <c r="G7" s="11" t="s">
        <v>78</v>
      </c>
    </row>
    <row r="8" customFormat="false" ht="15" hidden="false" customHeight="false" outlineLevel="0" collapsed="false">
      <c r="A8" s="12" t="n">
        <f aca="false">IF($B8="","",ROW()-7)</f>
        <v>1</v>
      </c>
      <c r="B8" s="13" t="s">
        <v>79</v>
      </c>
      <c r="C8" s="14" t="s">
        <v>68</v>
      </c>
      <c r="D8" s="13"/>
      <c r="E8" s="13" t="s">
        <v>80</v>
      </c>
      <c r="F8" s="14" t="s">
        <v>81</v>
      </c>
      <c r="G8" s="15" t="s">
        <v>82</v>
      </c>
    </row>
    <row r="9" customFormat="false" ht="15" hidden="false" customHeight="false" outlineLevel="0" collapsed="false">
      <c r="A9" s="12" t="str">
        <f aca="false">IF($B9="","",ROW()-7)</f>
        <v/>
      </c>
      <c r="B9" s="13"/>
      <c r="C9" s="14"/>
      <c r="D9" s="13"/>
      <c r="E9" s="13"/>
      <c r="F9" s="14"/>
      <c r="G9" s="13"/>
    </row>
    <row r="10" customFormat="false" ht="15" hidden="false" customHeight="false" outlineLevel="0" collapsed="false">
      <c r="A10" s="12" t="str">
        <f aca="false">IF($B10="","",ROW()-7)</f>
        <v/>
      </c>
      <c r="B10" s="13"/>
      <c r="C10" s="14"/>
      <c r="D10" s="13"/>
      <c r="E10" s="13"/>
      <c r="F10" s="14"/>
      <c r="G10" s="13"/>
    </row>
    <row r="11" customFormat="false" ht="15" hidden="false" customHeight="false" outlineLevel="0" collapsed="false">
      <c r="A11" s="12" t="str">
        <f aca="false">IF($B11="","",ROW()-7)</f>
        <v/>
      </c>
      <c r="B11" s="13"/>
      <c r="C11" s="14"/>
      <c r="D11" s="13"/>
      <c r="E11" s="13"/>
      <c r="F11" s="14"/>
      <c r="G11" s="13"/>
    </row>
    <row r="12" customFormat="false" ht="15" hidden="false" customHeight="false" outlineLevel="0" collapsed="false">
      <c r="A12" s="12" t="str">
        <f aca="false">IF($B12="","",ROW()-7)</f>
        <v/>
      </c>
      <c r="B12" s="13"/>
      <c r="C12" s="14"/>
      <c r="D12" s="13"/>
      <c r="E12" s="13"/>
      <c r="F12" s="14"/>
      <c r="G12" s="13"/>
    </row>
    <row r="13" customFormat="false" ht="15" hidden="false" customHeight="false" outlineLevel="0" collapsed="false">
      <c r="A13" s="12" t="str">
        <f aca="false">IF($B13="","",ROW()-7)</f>
        <v/>
      </c>
      <c r="B13" s="13"/>
      <c r="C13" s="14"/>
      <c r="D13" s="13"/>
      <c r="E13" s="13"/>
      <c r="F13" s="14"/>
      <c r="G13" s="13"/>
    </row>
    <row r="14" customFormat="false" ht="15" hidden="false" customHeight="false" outlineLevel="0" collapsed="false">
      <c r="A14" s="12" t="str">
        <f aca="false">IF($B14="","",ROW()-7)</f>
        <v/>
      </c>
      <c r="B14" s="13"/>
      <c r="C14" s="14"/>
      <c r="D14" s="13"/>
      <c r="E14" s="13"/>
      <c r="F14" s="14"/>
      <c r="G14" s="13"/>
    </row>
    <row r="15" customFormat="false" ht="15" hidden="false" customHeight="false" outlineLevel="0" collapsed="false">
      <c r="A15" s="12" t="str">
        <f aca="false">IF($B15="","",ROW()-7)</f>
        <v/>
      </c>
      <c r="B15" s="13"/>
      <c r="C15" s="14"/>
      <c r="D15" s="13"/>
      <c r="E15" s="13"/>
      <c r="F15" s="14"/>
      <c r="G15" s="13"/>
    </row>
    <row r="16" customFormat="false" ht="15" hidden="false" customHeight="false" outlineLevel="0" collapsed="false">
      <c r="A16" s="12" t="str">
        <f aca="false">IF($B16="","",ROW()-7)</f>
        <v/>
      </c>
      <c r="B16" s="13"/>
      <c r="C16" s="14"/>
      <c r="D16" s="13"/>
      <c r="E16" s="13"/>
      <c r="F16" s="14"/>
      <c r="G16" s="13"/>
    </row>
    <row r="17" customFormat="false" ht="15" hidden="false" customHeight="false" outlineLevel="0" collapsed="false">
      <c r="A17" s="12" t="str">
        <f aca="false">IF($B17="","",ROW()-7)</f>
        <v/>
      </c>
      <c r="B17" s="13"/>
      <c r="C17" s="14"/>
      <c r="D17" s="13"/>
      <c r="E17" s="13"/>
      <c r="F17" s="14"/>
      <c r="G17" s="13"/>
    </row>
    <row r="18" customFormat="false" ht="15" hidden="false" customHeight="false" outlineLevel="0" collapsed="false">
      <c r="A18" s="12" t="str">
        <f aca="false">IF($B18="","",ROW()-7)</f>
        <v/>
      </c>
      <c r="B18" s="13"/>
      <c r="C18" s="14"/>
      <c r="D18" s="13"/>
      <c r="E18" s="13"/>
      <c r="F18" s="14"/>
      <c r="G18" s="13"/>
    </row>
    <row r="19" customFormat="false" ht="15" hidden="false" customHeight="false" outlineLevel="0" collapsed="false">
      <c r="A19" s="12" t="str">
        <f aca="false">IF($B19="","",ROW()-7)</f>
        <v/>
      </c>
      <c r="B19" s="13"/>
      <c r="C19" s="14"/>
      <c r="D19" s="13"/>
      <c r="E19" s="13"/>
      <c r="F19" s="14"/>
      <c r="G19" s="13"/>
    </row>
    <row r="20" customFormat="false" ht="15" hidden="false" customHeight="false" outlineLevel="0" collapsed="false">
      <c r="A20" s="12" t="str">
        <f aca="false">IF($B20="","",ROW()-7)</f>
        <v/>
      </c>
      <c r="B20" s="13"/>
      <c r="C20" s="14"/>
      <c r="D20" s="13"/>
      <c r="E20" s="13"/>
      <c r="F20" s="14"/>
      <c r="G20" s="13"/>
    </row>
    <row r="21" customFormat="false" ht="15" hidden="false" customHeight="false" outlineLevel="0" collapsed="false">
      <c r="A21" s="12" t="str">
        <f aca="false">IF($B21="","",ROW()-7)</f>
        <v/>
      </c>
      <c r="B21" s="13"/>
      <c r="C21" s="14"/>
      <c r="D21" s="13"/>
      <c r="E21" s="13"/>
      <c r="F21" s="14"/>
      <c r="G21" s="13"/>
    </row>
    <row r="22" customFormat="false" ht="15" hidden="false" customHeight="false" outlineLevel="0" collapsed="false">
      <c r="A22" s="12" t="str">
        <f aca="false">IF($B22="","",ROW()-7)</f>
        <v/>
      </c>
      <c r="B22" s="13"/>
      <c r="C22" s="14"/>
      <c r="D22" s="13"/>
      <c r="E22" s="13"/>
      <c r="F22" s="14"/>
      <c r="G22" s="13"/>
    </row>
    <row r="23" customFormat="false" ht="15" hidden="false" customHeight="false" outlineLevel="0" collapsed="false">
      <c r="A23" s="12" t="str">
        <f aca="false">IF($B23="","",ROW()-7)</f>
        <v/>
      </c>
      <c r="B23" s="13"/>
      <c r="C23" s="14"/>
      <c r="D23" s="13"/>
      <c r="E23" s="13"/>
      <c r="F23" s="14"/>
      <c r="G23" s="13"/>
    </row>
    <row r="24" customFormat="false" ht="15" hidden="false" customHeight="false" outlineLevel="0" collapsed="false">
      <c r="A24" s="12" t="str">
        <f aca="false">IF($B24="","",ROW()-7)</f>
        <v/>
      </c>
      <c r="B24" s="13"/>
      <c r="C24" s="14"/>
      <c r="D24" s="13"/>
      <c r="E24" s="13"/>
      <c r="F24" s="14"/>
      <c r="G24" s="13"/>
    </row>
    <row r="25" customFormat="false" ht="15" hidden="false" customHeight="false" outlineLevel="0" collapsed="false">
      <c r="A25" s="12" t="str">
        <f aca="false">IF($B25="","",ROW()-7)</f>
        <v/>
      </c>
      <c r="B25" s="13"/>
      <c r="C25" s="14"/>
      <c r="D25" s="13"/>
      <c r="E25" s="13"/>
      <c r="F25" s="14"/>
      <c r="G25" s="13"/>
    </row>
    <row r="26" customFormat="false" ht="15" hidden="false" customHeight="false" outlineLevel="0" collapsed="false">
      <c r="A26" s="12" t="str">
        <f aca="false">IF($B26="","",ROW()-7)</f>
        <v/>
      </c>
      <c r="B26" s="13"/>
      <c r="C26" s="14"/>
      <c r="D26" s="13"/>
      <c r="E26" s="13"/>
      <c r="F26" s="14"/>
      <c r="G26" s="13"/>
    </row>
    <row r="27" customFormat="false" ht="15" hidden="false" customHeight="false" outlineLevel="0" collapsed="false">
      <c r="A27" s="12" t="str">
        <f aca="false">IF($B27="","",ROW()-7)</f>
        <v/>
      </c>
      <c r="B27" s="13"/>
      <c r="C27" s="14"/>
      <c r="D27" s="13"/>
      <c r="E27" s="13"/>
      <c r="F27" s="14"/>
      <c r="G27" s="13"/>
    </row>
    <row r="28" customFormat="false" ht="15" hidden="false" customHeight="false" outlineLevel="0" collapsed="false">
      <c r="A28" s="12" t="str">
        <f aca="false">IF($B28="","",ROW()-7)</f>
        <v/>
      </c>
      <c r="B28" s="13"/>
      <c r="C28" s="14"/>
      <c r="D28" s="13"/>
      <c r="E28" s="13"/>
      <c r="F28" s="14"/>
      <c r="G28" s="13"/>
    </row>
    <row r="29" customFormat="false" ht="15" hidden="false" customHeight="false" outlineLevel="0" collapsed="false">
      <c r="A29" s="12" t="str">
        <f aca="false">IF($B29="","",ROW()-7)</f>
        <v/>
      </c>
      <c r="B29" s="13"/>
      <c r="C29" s="14"/>
      <c r="D29" s="13"/>
      <c r="E29" s="13"/>
      <c r="F29" s="14"/>
      <c r="G29" s="13"/>
    </row>
    <row r="30" customFormat="false" ht="15" hidden="false" customHeight="false" outlineLevel="0" collapsed="false">
      <c r="A30" s="12" t="str">
        <f aca="false">IF($B30="","",ROW()-7)</f>
        <v/>
      </c>
      <c r="B30" s="13"/>
      <c r="C30" s="14"/>
      <c r="D30" s="13"/>
      <c r="E30" s="13"/>
      <c r="F30" s="14"/>
      <c r="G30" s="13"/>
    </row>
    <row r="31" customFormat="false" ht="15" hidden="false" customHeight="false" outlineLevel="0" collapsed="false">
      <c r="A31" s="12" t="str">
        <f aca="false">IF($B31="","",ROW()-7)</f>
        <v/>
      </c>
      <c r="B31" s="13"/>
      <c r="C31" s="14"/>
      <c r="D31" s="13"/>
      <c r="E31" s="13"/>
      <c r="F31" s="14"/>
      <c r="G31" s="13"/>
    </row>
    <row r="32" customFormat="false" ht="15" hidden="false" customHeight="false" outlineLevel="0" collapsed="false">
      <c r="A32" s="12" t="str">
        <f aca="false">IF($B32="","",ROW()-7)</f>
        <v/>
      </c>
      <c r="B32" s="13"/>
      <c r="C32" s="14"/>
      <c r="D32" s="13"/>
      <c r="E32" s="13"/>
      <c r="F32" s="14"/>
      <c r="G32" s="13"/>
    </row>
    <row r="33" customFormat="false" ht="15" hidden="false" customHeight="false" outlineLevel="0" collapsed="false">
      <c r="A33" s="12" t="str">
        <f aca="false">IF($B33="","",ROW()-7)</f>
        <v/>
      </c>
      <c r="B33" s="13"/>
      <c r="C33" s="14"/>
      <c r="D33" s="13"/>
      <c r="E33" s="13"/>
      <c r="F33" s="14"/>
      <c r="G33" s="13"/>
    </row>
    <row r="34" customFormat="false" ht="15" hidden="false" customHeight="false" outlineLevel="0" collapsed="false">
      <c r="A34" s="12" t="str">
        <f aca="false">IF($B34="","",ROW()-7)</f>
        <v/>
      </c>
      <c r="B34" s="13"/>
      <c r="C34" s="14"/>
      <c r="D34" s="13"/>
      <c r="E34" s="13"/>
      <c r="F34" s="14"/>
      <c r="G34" s="13"/>
    </row>
    <row r="35" customFormat="false" ht="15" hidden="false" customHeight="false" outlineLevel="0" collapsed="false">
      <c r="A35" s="12" t="str">
        <f aca="false">IF($B35="","",ROW()-7)</f>
        <v/>
      </c>
      <c r="B35" s="13"/>
      <c r="C35" s="14"/>
      <c r="D35" s="13"/>
      <c r="E35" s="13"/>
      <c r="F35" s="14"/>
      <c r="G35" s="13"/>
    </row>
    <row r="36" customFormat="false" ht="15" hidden="false" customHeight="false" outlineLevel="0" collapsed="false">
      <c r="A36" s="12" t="str">
        <f aca="false">IF($B36="","",ROW()-7)</f>
        <v/>
      </c>
      <c r="B36" s="13"/>
      <c r="C36" s="14"/>
      <c r="D36" s="13"/>
      <c r="E36" s="13"/>
      <c r="F36" s="14"/>
      <c r="G36" s="13"/>
    </row>
    <row r="37" customFormat="false" ht="15" hidden="false" customHeight="false" outlineLevel="0" collapsed="false">
      <c r="A37" s="12" t="str">
        <f aca="false">IF($B37="","",ROW()-7)</f>
        <v/>
      </c>
      <c r="B37" s="13"/>
      <c r="C37" s="14"/>
      <c r="D37" s="13"/>
      <c r="E37" s="13"/>
      <c r="F37" s="14"/>
      <c r="G37" s="13"/>
    </row>
    <row r="38" customFormat="false" ht="15" hidden="false" customHeight="false" outlineLevel="0" collapsed="false">
      <c r="A38" s="12" t="str">
        <f aca="false">IF($B38="","",ROW()-7)</f>
        <v/>
      </c>
      <c r="B38" s="13"/>
      <c r="C38" s="14"/>
      <c r="D38" s="13"/>
      <c r="E38" s="13"/>
      <c r="F38" s="14"/>
      <c r="G38" s="13"/>
    </row>
    <row r="39" customFormat="false" ht="15" hidden="false" customHeight="false" outlineLevel="0" collapsed="false">
      <c r="A39" s="12" t="str">
        <f aca="false">IF($B39="","",ROW()-7)</f>
        <v/>
      </c>
      <c r="B39" s="13"/>
      <c r="C39" s="14"/>
      <c r="D39" s="13"/>
      <c r="E39" s="13"/>
      <c r="F39" s="14"/>
      <c r="G39" s="13"/>
    </row>
    <row r="40" customFormat="false" ht="15" hidden="false" customHeight="false" outlineLevel="0" collapsed="false">
      <c r="A40" s="12" t="str">
        <f aca="false">IF($B40="","",ROW()-7)</f>
        <v/>
      </c>
      <c r="B40" s="13"/>
      <c r="C40" s="14"/>
      <c r="D40" s="13"/>
      <c r="E40" s="13"/>
      <c r="F40" s="14"/>
      <c r="G40" s="13"/>
    </row>
    <row r="41" customFormat="false" ht="15" hidden="false" customHeight="false" outlineLevel="0" collapsed="false">
      <c r="A41" s="12" t="str">
        <f aca="false">IF($B41="","",ROW()-7)</f>
        <v/>
      </c>
      <c r="B41" s="13"/>
      <c r="C41" s="14"/>
      <c r="D41" s="13"/>
      <c r="E41" s="13"/>
      <c r="F41" s="14"/>
      <c r="G41" s="13"/>
    </row>
    <row r="42" customFormat="false" ht="15" hidden="false" customHeight="false" outlineLevel="0" collapsed="false">
      <c r="A42" s="12" t="str">
        <f aca="false">IF($B42="","",ROW()-7)</f>
        <v/>
      </c>
      <c r="B42" s="13"/>
      <c r="C42" s="14"/>
      <c r="D42" s="13"/>
      <c r="E42" s="13"/>
      <c r="F42" s="14"/>
      <c r="G42" s="13"/>
    </row>
    <row r="43" customFormat="false" ht="15" hidden="false" customHeight="false" outlineLevel="0" collapsed="false">
      <c r="A43" s="12" t="str">
        <f aca="false">IF($B43="","",ROW()-7)</f>
        <v/>
      </c>
      <c r="B43" s="13"/>
      <c r="C43" s="14"/>
      <c r="D43" s="13"/>
      <c r="E43" s="13"/>
      <c r="F43" s="14"/>
      <c r="G43" s="13"/>
    </row>
    <row r="44" customFormat="false" ht="15" hidden="false" customHeight="false" outlineLevel="0" collapsed="false">
      <c r="A44" s="12" t="str">
        <f aca="false">IF($B44="","",ROW()-7)</f>
        <v/>
      </c>
      <c r="B44" s="13"/>
      <c r="C44" s="14"/>
      <c r="D44" s="13"/>
      <c r="E44" s="13"/>
      <c r="F44" s="14"/>
      <c r="G44" s="13"/>
    </row>
    <row r="45" customFormat="false" ht="15" hidden="false" customHeight="false" outlineLevel="0" collapsed="false">
      <c r="A45" s="12" t="str">
        <f aca="false">IF($B45="","",ROW()-7)</f>
        <v/>
      </c>
      <c r="B45" s="13"/>
      <c r="C45" s="14"/>
      <c r="D45" s="13"/>
      <c r="E45" s="13"/>
      <c r="F45" s="14"/>
      <c r="G45" s="13"/>
    </row>
    <row r="46" customFormat="false" ht="15" hidden="false" customHeight="false" outlineLevel="0" collapsed="false">
      <c r="A46" s="12" t="str">
        <f aca="false">IF($B46="","",ROW()-7)</f>
        <v/>
      </c>
      <c r="B46" s="13"/>
      <c r="C46" s="14"/>
      <c r="D46" s="13"/>
      <c r="E46" s="13"/>
      <c r="F46" s="14"/>
      <c r="G46" s="13"/>
    </row>
    <row r="47" customFormat="false" ht="15" hidden="false" customHeight="false" outlineLevel="0" collapsed="false">
      <c r="A47" s="12" t="str">
        <f aca="false">IF($B47="","",ROW()-7)</f>
        <v/>
      </c>
      <c r="B47" s="13"/>
      <c r="C47" s="14"/>
      <c r="D47" s="13"/>
      <c r="E47" s="13"/>
      <c r="F47" s="14"/>
      <c r="G47" s="13"/>
    </row>
  </sheetData>
  <mergeCells count="3">
    <mergeCell ref="A1:G1"/>
    <mergeCell ref="A2:G2"/>
    <mergeCell ref="A4:G4"/>
  </mergeCells>
  <conditionalFormatting sqref="F8:F47">
    <cfRule type="cellIs" priority="2" operator="equal" aboveAverage="0" equalAverage="0" bottom="0" percent="0" rank="0" text="" dxfId="0">
      <formula>"Chưa"</formula>
    </cfRule>
  </conditionalFormatting>
  <dataValidations count="3">
    <dataValidation allowBlank="true" errorStyle="stop" operator="between" showDropDown="false" showErrorMessage="false" showInputMessage="false" sqref="C8:C47" type="list">
      <formula1>"Nam,Nữ"</formula1>
      <formula2>0</formula2>
    </dataValidation>
    <dataValidation allowBlank="true" errorStyle="stop" operator="between" showDropDown="false" showErrorMessage="false" showInputMessage="false" sqref="D8:D47" type="list">
      <formula1>DS_DOI</formula1>
      <formula2>0</formula2>
    </dataValidation>
    <dataValidation allowBlank="true" errorStyle="stop" operator="between" showDropDown="false" showErrorMessage="false" showInputMessage="false" sqref="F8:F47" type="list">
      <formula1>"Rồi,Chưa"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0"/>
    <col collapsed="false" customWidth="true" hidden="false" outlineLevel="0" max="4" min="3" style="0" width="22"/>
    <col collapsed="false" customWidth="true" hidden="false" outlineLevel="0" max="5" min="5" style="0" width="30"/>
    <col collapsed="false" customWidth="true" hidden="false" outlineLevel="0" max="6" min="6" style="0" width="22"/>
  </cols>
  <sheetData>
    <row r="1" customFormat="false" ht="30" hidden="false" customHeight="true" outlineLevel="0" collapsed="false">
      <c r="A1" s="1" t="s">
        <v>83</v>
      </c>
      <c r="B1" s="1"/>
      <c r="C1" s="1"/>
      <c r="D1" s="1"/>
      <c r="E1" s="1"/>
      <c r="F1" s="1"/>
    </row>
    <row r="2" customFormat="false" ht="16.5" hidden="false" customHeight="true" outlineLevel="0" collapsed="false">
      <c r="A2" s="2" t="s">
        <v>84</v>
      </c>
      <c r="B2" s="2"/>
      <c r="C2" s="2"/>
      <c r="D2" s="2"/>
      <c r="E2" s="2"/>
      <c r="F2" s="2"/>
    </row>
    <row r="4" customFormat="false" ht="30" hidden="false" customHeight="true" outlineLevel="0" collapsed="false">
      <c r="A4" s="11" t="s">
        <v>85</v>
      </c>
      <c r="B4" s="11" t="s">
        <v>86</v>
      </c>
      <c r="C4" s="11" t="s">
        <v>87</v>
      </c>
      <c r="D4" s="11" t="s">
        <v>78</v>
      </c>
      <c r="E4" s="11"/>
      <c r="F4" s="11"/>
    </row>
    <row r="5" customFormat="false" ht="15" hidden="false" customHeight="false" outlineLevel="0" collapsed="false">
      <c r="A5" s="16" t="s">
        <v>88</v>
      </c>
      <c r="B5" s="17" t="s">
        <v>89</v>
      </c>
      <c r="C5" s="17"/>
      <c r="D5" s="13"/>
      <c r="E5" s="13"/>
      <c r="F5" s="13"/>
    </row>
    <row r="6" customFormat="false" ht="15" hidden="false" customHeight="false" outlineLevel="0" collapsed="false">
      <c r="A6" s="16" t="s">
        <v>90</v>
      </c>
      <c r="B6" s="17" t="s">
        <v>91</v>
      </c>
      <c r="C6" s="17"/>
      <c r="D6" s="13"/>
      <c r="E6" s="13"/>
      <c r="F6" s="13"/>
    </row>
    <row r="7" customFormat="false" ht="15" hidden="false" customHeight="false" outlineLevel="0" collapsed="false">
      <c r="A7" s="16" t="s">
        <v>92</v>
      </c>
      <c r="B7" s="17" t="s">
        <v>93</v>
      </c>
      <c r="C7" s="17"/>
      <c r="D7" s="13"/>
      <c r="E7" s="13"/>
      <c r="F7" s="13"/>
    </row>
    <row r="8" customFormat="false" ht="15" hidden="false" customHeight="false" outlineLevel="0" collapsed="false">
      <c r="A8" s="16" t="s">
        <v>94</v>
      </c>
      <c r="B8" s="17" t="s">
        <v>95</v>
      </c>
      <c r="C8" s="17"/>
      <c r="D8" s="13"/>
      <c r="E8" s="13"/>
      <c r="F8" s="13"/>
    </row>
    <row r="10" customFormat="false" ht="21.75" hidden="false" customHeight="true" outlineLevel="0" collapsed="false">
      <c r="A10" s="3" t="s">
        <v>96</v>
      </c>
      <c r="B10" s="3"/>
      <c r="C10" s="3"/>
      <c r="D10" s="3"/>
      <c r="E10" s="3"/>
      <c r="F10" s="3"/>
    </row>
    <row r="11" customFormat="false" ht="27.75" hidden="false" customHeight="true" outlineLevel="0" collapsed="false">
      <c r="A11" s="18" t="s">
        <v>97</v>
      </c>
      <c r="B11" s="18"/>
      <c r="C11" s="18"/>
      <c r="D11" s="18"/>
      <c r="E11" s="18"/>
      <c r="F11" s="18"/>
    </row>
    <row r="12" customFormat="false" ht="30" hidden="false" customHeight="true" outlineLevel="0" collapsed="false">
      <c r="A12" s="11" t="s">
        <v>76</v>
      </c>
      <c r="B12" s="11" t="s">
        <v>98</v>
      </c>
      <c r="C12" s="11" t="s">
        <v>99</v>
      </c>
      <c r="D12" s="11" t="s">
        <v>100</v>
      </c>
      <c r="E12" s="11" t="s">
        <v>101</v>
      </c>
      <c r="F12" s="11" t="s">
        <v>102</v>
      </c>
    </row>
    <row r="13" customFormat="false" ht="15" hidden="false" customHeight="false" outlineLevel="0" collapsed="false">
      <c r="A13" s="19" t="str">
        <f aca="false">'Đội hình'!$B$5</f>
        <v>Đội Đỏ</v>
      </c>
      <c r="B13" s="19" t="s">
        <v>103</v>
      </c>
      <c r="C13" s="20"/>
      <c r="D13" s="20"/>
      <c r="E13" s="19" t="str">
        <f aca="false">IF(OR($C13="",$D13=""),"",$C13&amp;" / "&amp;$D13)</f>
        <v/>
      </c>
      <c r="F13" s="21" t="str">
        <f aca="false">$A13&amp;"|"&amp;$B13</f>
        <v>Đội Đỏ|Đôi nam</v>
      </c>
    </row>
    <row r="14" customFormat="false" ht="15" hidden="false" customHeight="false" outlineLevel="0" collapsed="false">
      <c r="A14" s="22" t="str">
        <f aca="false">'Đội hình'!$B$5</f>
        <v>Đội Đỏ</v>
      </c>
      <c r="B14" s="22" t="s">
        <v>104</v>
      </c>
      <c r="C14" s="13"/>
      <c r="D14" s="13"/>
      <c r="E14" s="22" t="str">
        <f aca="false">IF(OR($C14="",$D14=""),"",$C14&amp;" / "&amp;$D14)</f>
        <v/>
      </c>
      <c r="F14" s="23" t="str">
        <f aca="false">$A14&amp;"|"&amp;$B14</f>
        <v>Đội Đỏ|Đôi nữ</v>
      </c>
    </row>
    <row r="15" customFormat="false" ht="15" hidden="false" customHeight="false" outlineLevel="0" collapsed="false">
      <c r="A15" s="22" t="str">
        <f aca="false">'Đội hình'!$B$5</f>
        <v>Đội Đỏ</v>
      </c>
      <c r="B15" s="22" t="s">
        <v>105</v>
      </c>
      <c r="C15" s="13"/>
      <c r="D15" s="13"/>
      <c r="E15" s="22" t="str">
        <f aca="false">IF(OR($C15="",$D15=""),"",$C15&amp;" / "&amp;$D15)</f>
        <v/>
      </c>
      <c r="F15" s="23" t="str">
        <f aca="false">$A15&amp;"|"&amp;$B15</f>
        <v>Đội Đỏ|Đôi nam nữ</v>
      </c>
    </row>
    <row r="16" customFormat="false" ht="15" hidden="false" customHeight="false" outlineLevel="0" collapsed="false">
      <c r="A16" s="19" t="str">
        <f aca="false">'Đội hình'!$B$6</f>
        <v>Đội Xanh</v>
      </c>
      <c r="B16" s="19" t="s">
        <v>103</v>
      </c>
      <c r="C16" s="20"/>
      <c r="D16" s="20"/>
      <c r="E16" s="19" t="str">
        <f aca="false">IF(OR($C16="",$D16=""),"",$C16&amp;" / "&amp;$D16)</f>
        <v/>
      </c>
      <c r="F16" s="21" t="str">
        <f aca="false">$A16&amp;"|"&amp;$B16</f>
        <v>Đội Xanh|Đôi nam</v>
      </c>
    </row>
    <row r="17" customFormat="false" ht="15" hidden="false" customHeight="false" outlineLevel="0" collapsed="false">
      <c r="A17" s="22" t="str">
        <f aca="false">'Đội hình'!$B$6</f>
        <v>Đội Xanh</v>
      </c>
      <c r="B17" s="22" t="s">
        <v>104</v>
      </c>
      <c r="C17" s="13"/>
      <c r="D17" s="13"/>
      <c r="E17" s="22" t="str">
        <f aca="false">IF(OR($C17="",$D17=""),"",$C17&amp;" / "&amp;$D17)</f>
        <v/>
      </c>
      <c r="F17" s="23" t="str">
        <f aca="false">$A17&amp;"|"&amp;$B17</f>
        <v>Đội Xanh|Đôi nữ</v>
      </c>
    </row>
    <row r="18" customFormat="false" ht="15" hidden="false" customHeight="false" outlineLevel="0" collapsed="false">
      <c r="A18" s="22" t="str">
        <f aca="false">'Đội hình'!$B$6</f>
        <v>Đội Xanh</v>
      </c>
      <c r="B18" s="22" t="s">
        <v>105</v>
      </c>
      <c r="C18" s="13"/>
      <c r="D18" s="13"/>
      <c r="E18" s="22" t="str">
        <f aca="false">IF(OR($C18="",$D18=""),"",$C18&amp;" / "&amp;$D18)</f>
        <v/>
      </c>
      <c r="F18" s="23" t="str">
        <f aca="false">$A18&amp;"|"&amp;$B18</f>
        <v>Đội Xanh|Đôi nam nữ</v>
      </c>
    </row>
    <row r="19" customFormat="false" ht="15" hidden="false" customHeight="false" outlineLevel="0" collapsed="false">
      <c r="A19" s="19" t="str">
        <f aca="false">'Đội hình'!$B$7</f>
        <v>Đội Vàng</v>
      </c>
      <c r="B19" s="19" t="s">
        <v>103</v>
      </c>
      <c r="C19" s="20"/>
      <c r="D19" s="20"/>
      <c r="E19" s="19" t="str">
        <f aca="false">IF(OR($C19="",$D19=""),"",$C19&amp;" / "&amp;$D19)</f>
        <v/>
      </c>
      <c r="F19" s="21" t="str">
        <f aca="false">$A19&amp;"|"&amp;$B19</f>
        <v>Đội Vàng|Đôi nam</v>
      </c>
    </row>
    <row r="20" customFormat="false" ht="15" hidden="false" customHeight="false" outlineLevel="0" collapsed="false">
      <c r="A20" s="22" t="str">
        <f aca="false">'Đội hình'!$B$7</f>
        <v>Đội Vàng</v>
      </c>
      <c r="B20" s="22" t="s">
        <v>104</v>
      </c>
      <c r="C20" s="13"/>
      <c r="D20" s="13"/>
      <c r="E20" s="22" t="str">
        <f aca="false">IF(OR($C20="",$D20=""),"",$C20&amp;" / "&amp;$D20)</f>
        <v/>
      </c>
      <c r="F20" s="23" t="str">
        <f aca="false">$A20&amp;"|"&amp;$B20</f>
        <v>Đội Vàng|Đôi nữ</v>
      </c>
    </row>
    <row r="21" customFormat="false" ht="15" hidden="false" customHeight="false" outlineLevel="0" collapsed="false">
      <c r="A21" s="22" t="str">
        <f aca="false">'Đội hình'!$B$7</f>
        <v>Đội Vàng</v>
      </c>
      <c r="B21" s="22" t="s">
        <v>105</v>
      </c>
      <c r="C21" s="13"/>
      <c r="D21" s="13"/>
      <c r="E21" s="22" t="str">
        <f aca="false">IF(OR($C21="",$D21=""),"",$C21&amp;" / "&amp;$D21)</f>
        <v/>
      </c>
      <c r="F21" s="23" t="str">
        <f aca="false">$A21&amp;"|"&amp;$B21</f>
        <v>Đội Vàng|Đôi nam nữ</v>
      </c>
    </row>
    <row r="22" customFormat="false" ht="15" hidden="false" customHeight="false" outlineLevel="0" collapsed="false">
      <c r="A22" s="19" t="str">
        <f aca="false">'Đội hình'!$B$8</f>
        <v>Đội Trắng</v>
      </c>
      <c r="B22" s="19" t="s">
        <v>103</v>
      </c>
      <c r="C22" s="20"/>
      <c r="D22" s="20"/>
      <c r="E22" s="19" t="str">
        <f aca="false">IF(OR($C22="",$D22=""),"",$C22&amp;" / "&amp;$D22)</f>
        <v/>
      </c>
      <c r="F22" s="21" t="str">
        <f aca="false">$A22&amp;"|"&amp;$B22</f>
        <v>Đội Trắng|Đôi nam</v>
      </c>
    </row>
    <row r="23" customFormat="false" ht="15" hidden="false" customHeight="false" outlineLevel="0" collapsed="false">
      <c r="A23" s="22" t="str">
        <f aca="false">'Đội hình'!$B$8</f>
        <v>Đội Trắng</v>
      </c>
      <c r="B23" s="22" t="s">
        <v>104</v>
      </c>
      <c r="C23" s="13"/>
      <c r="D23" s="13"/>
      <c r="E23" s="22" t="str">
        <f aca="false">IF(OR($C23="",$D23=""),"",$C23&amp;" / "&amp;$D23)</f>
        <v/>
      </c>
      <c r="F23" s="23" t="str">
        <f aca="false">$A23&amp;"|"&amp;$B23</f>
        <v>Đội Trắng|Đôi nữ</v>
      </c>
    </row>
    <row r="24" customFormat="false" ht="15" hidden="false" customHeight="false" outlineLevel="0" collapsed="false">
      <c r="A24" s="22" t="str">
        <f aca="false">'Đội hình'!$B$8</f>
        <v>Đội Trắng</v>
      </c>
      <c r="B24" s="22" t="s">
        <v>105</v>
      </c>
      <c r="C24" s="13"/>
      <c r="D24" s="13"/>
      <c r="E24" s="22" t="str">
        <f aca="false">IF(OR($C24="",$D24=""),"",$C24&amp;" / "&amp;$D24)</f>
        <v/>
      </c>
      <c r="F24" s="23" t="str">
        <f aca="false">$A24&amp;"|"&amp;$B24</f>
        <v>Đội Trắng|Đôi nam nữ</v>
      </c>
    </row>
    <row r="26" customFormat="false" ht="21.75" hidden="false" customHeight="true" outlineLevel="0" collapsed="false">
      <c r="A26" s="3" t="s">
        <v>106</v>
      </c>
      <c r="B26" s="3"/>
      <c r="C26" s="3"/>
      <c r="D26" s="3"/>
      <c r="E26" s="3"/>
      <c r="F26" s="3"/>
    </row>
    <row r="27" customFormat="false" ht="27.75" hidden="false" customHeight="true" outlineLevel="0" collapsed="false">
      <c r="A27" s="24" t="s">
        <v>107</v>
      </c>
      <c r="B27" s="24"/>
      <c r="C27" s="24"/>
      <c r="D27" s="24"/>
      <c r="E27" s="24"/>
      <c r="F27" s="24"/>
    </row>
    <row r="28" customFormat="false" ht="30" hidden="false" customHeight="true" outlineLevel="0" collapsed="false">
      <c r="A28" s="11" t="s">
        <v>76</v>
      </c>
      <c r="B28" s="11" t="s">
        <v>98</v>
      </c>
      <c r="C28" s="11" t="s">
        <v>99</v>
      </c>
      <c r="D28" s="11" t="s">
        <v>100</v>
      </c>
      <c r="E28" s="11" t="s">
        <v>101</v>
      </c>
      <c r="F28" s="11" t="s">
        <v>102</v>
      </c>
    </row>
    <row r="29" customFormat="false" ht="15" hidden="false" customHeight="false" outlineLevel="0" collapsed="false">
      <c r="A29" s="19" t="str">
        <f aca="false">'Đội hình'!$B$5</f>
        <v>Đội Đỏ</v>
      </c>
      <c r="B29" s="19" t="s">
        <v>103</v>
      </c>
      <c r="C29" s="20"/>
      <c r="D29" s="20"/>
      <c r="E29" s="19" t="str">
        <f aca="false">IF(OR($C29="",$D29=""),"",$C29&amp;" / "&amp;$D29)</f>
        <v/>
      </c>
      <c r="F29" s="21" t="str">
        <f aca="false">$A29&amp;"|"&amp;$B29</f>
        <v>Đội Đỏ|Đôi nam</v>
      </c>
    </row>
    <row r="30" customFormat="false" ht="15" hidden="false" customHeight="false" outlineLevel="0" collapsed="false">
      <c r="A30" s="22" t="str">
        <f aca="false">'Đội hình'!$B$5</f>
        <v>Đội Đỏ</v>
      </c>
      <c r="B30" s="22" t="s">
        <v>104</v>
      </c>
      <c r="C30" s="13"/>
      <c r="D30" s="13"/>
      <c r="E30" s="22" t="str">
        <f aca="false">IF(OR($C30="",$D30=""),"",$C30&amp;" / "&amp;$D30)</f>
        <v/>
      </c>
      <c r="F30" s="23" t="str">
        <f aca="false">$A30&amp;"|"&amp;$B30</f>
        <v>Đội Đỏ|Đôi nữ</v>
      </c>
    </row>
    <row r="31" customFormat="false" ht="15" hidden="false" customHeight="false" outlineLevel="0" collapsed="false">
      <c r="A31" s="22" t="str">
        <f aca="false">'Đội hình'!$B$5</f>
        <v>Đội Đỏ</v>
      </c>
      <c r="B31" s="22" t="s">
        <v>105</v>
      </c>
      <c r="C31" s="13"/>
      <c r="D31" s="13"/>
      <c r="E31" s="22" t="str">
        <f aca="false">IF(OR($C31="",$D31=""),"",$C31&amp;" / "&amp;$D31)</f>
        <v/>
      </c>
      <c r="F31" s="23" t="str">
        <f aca="false">$A31&amp;"|"&amp;$B31</f>
        <v>Đội Đỏ|Đôi nam nữ</v>
      </c>
    </row>
    <row r="32" customFormat="false" ht="15" hidden="false" customHeight="false" outlineLevel="0" collapsed="false">
      <c r="A32" s="19" t="str">
        <f aca="false">'Đội hình'!$B$6</f>
        <v>Đội Xanh</v>
      </c>
      <c r="B32" s="19" t="s">
        <v>103</v>
      </c>
      <c r="C32" s="20"/>
      <c r="D32" s="20"/>
      <c r="E32" s="19" t="str">
        <f aca="false">IF(OR($C32="",$D32=""),"",$C32&amp;" / "&amp;$D32)</f>
        <v/>
      </c>
      <c r="F32" s="21" t="str">
        <f aca="false">$A32&amp;"|"&amp;$B32</f>
        <v>Đội Xanh|Đôi nam</v>
      </c>
    </row>
    <row r="33" customFormat="false" ht="15" hidden="false" customHeight="false" outlineLevel="0" collapsed="false">
      <c r="A33" s="22" t="str">
        <f aca="false">'Đội hình'!$B$6</f>
        <v>Đội Xanh</v>
      </c>
      <c r="B33" s="22" t="s">
        <v>104</v>
      </c>
      <c r="C33" s="13"/>
      <c r="D33" s="13"/>
      <c r="E33" s="22" t="str">
        <f aca="false">IF(OR($C33="",$D33=""),"",$C33&amp;" / "&amp;$D33)</f>
        <v/>
      </c>
      <c r="F33" s="23" t="str">
        <f aca="false">$A33&amp;"|"&amp;$B33</f>
        <v>Đội Xanh|Đôi nữ</v>
      </c>
    </row>
    <row r="34" customFormat="false" ht="15" hidden="false" customHeight="false" outlineLevel="0" collapsed="false">
      <c r="A34" s="22" t="str">
        <f aca="false">'Đội hình'!$B$6</f>
        <v>Đội Xanh</v>
      </c>
      <c r="B34" s="22" t="s">
        <v>105</v>
      </c>
      <c r="C34" s="13"/>
      <c r="D34" s="13"/>
      <c r="E34" s="22" t="str">
        <f aca="false">IF(OR($C34="",$D34=""),"",$C34&amp;" / "&amp;$D34)</f>
        <v/>
      </c>
      <c r="F34" s="23" t="str">
        <f aca="false">$A34&amp;"|"&amp;$B34</f>
        <v>Đội Xanh|Đôi nam nữ</v>
      </c>
    </row>
    <row r="35" customFormat="false" ht="15" hidden="false" customHeight="false" outlineLevel="0" collapsed="false">
      <c r="A35" s="19" t="str">
        <f aca="false">'Đội hình'!$B$7</f>
        <v>Đội Vàng</v>
      </c>
      <c r="B35" s="19" t="s">
        <v>103</v>
      </c>
      <c r="C35" s="20"/>
      <c r="D35" s="20"/>
      <c r="E35" s="19" t="str">
        <f aca="false">IF(OR($C35="",$D35=""),"",$C35&amp;" / "&amp;$D35)</f>
        <v/>
      </c>
      <c r="F35" s="21" t="str">
        <f aca="false">$A35&amp;"|"&amp;$B35</f>
        <v>Đội Vàng|Đôi nam</v>
      </c>
    </row>
    <row r="36" customFormat="false" ht="15" hidden="false" customHeight="false" outlineLevel="0" collapsed="false">
      <c r="A36" s="22" t="str">
        <f aca="false">'Đội hình'!$B$7</f>
        <v>Đội Vàng</v>
      </c>
      <c r="B36" s="22" t="s">
        <v>104</v>
      </c>
      <c r="C36" s="13"/>
      <c r="D36" s="13"/>
      <c r="E36" s="22" t="str">
        <f aca="false">IF(OR($C36="",$D36=""),"",$C36&amp;" / "&amp;$D36)</f>
        <v/>
      </c>
      <c r="F36" s="23" t="str">
        <f aca="false">$A36&amp;"|"&amp;$B36</f>
        <v>Đội Vàng|Đôi nữ</v>
      </c>
    </row>
    <row r="37" customFormat="false" ht="15" hidden="false" customHeight="false" outlineLevel="0" collapsed="false">
      <c r="A37" s="22" t="str">
        <f aca="false">'Đội hình'!$B$7</f>
        <v>Đội Vàng</v>
      </c>
      <c r="B37" s="22" t="s">
        <v>105</v>
      </c>
      <c r="C37" s="13"/>
      <c r="D37" s="13"/>
      <c r="E37" s="22" t="str">
        <f aca="false">IF(OR($C37="",$D37=""),"",$C37&amp;" / "&amp;$D37)</f>
        <v/>
      </c>
      <c r="F37" s="23" t="str">
        <f aca="false">$A37&amp;"|"&amp;$B37</f>
        <v>Đội Vàng|Đôi nam nữ</v>
      </c>
    </row>
    <row r="38" customFormat="false" ht="15" hidden="false" customHeight="false" outlineLevel="0" collapsed="false">
      <c r="A38" s="19" t="str">
        <f aca="false">'Đội hình'!$B$8</f>
        <v>Đội Trắng</v>
      </c>
      <c r="B38" s="19" t="s">
        <v>103</v>
      </c>
      <c r="C38" s="20"/>
      <c r="D38" s="20"/>
      <c r="E38" s="19" t="str">
        <f aca="false">IF(OR($C38="",$D38=""),"",$C38&amp;" / "&amp;$D38)</f>
        <v/>
      </c>
      <c r="F38" s="21" t="str">
        <f aca="false">$A38&amp;"|"&amp;$B38</f>
        <v>Đội Trắng|Đôi nam</v>
      </c>
    </row>
    <row r="39" customFormat="false" ht="15" hidden="false" customHeight="false" outlineLevel="0" collapsed="false">
      <c r="A39" s="22" t="str">
        <f aca="false">'Đội hình'!$B$8</f>
        <v>Đội Trắng</v>
      </c>
      <c r="B39" s="22" t="s">
        <v>104</v>
      </c>
      <c r="C39" s="13"/>
      <c r="D39" s="13"/>
      <c r="E39" s="22" t="str">
        <f aca="false">IF(OR($C39="",$D39=""),"",$C39&amp;" / "&amp;$D39)</f>
        <v/>
      </c>
      <c r="F39" s="23" t="str">
        <f aca="false">$A39&amp;"|"&amp;$B39</f>
        <v>Đội Trắng|Đôi nữ</v>
      </c>
    </row>
    <row r="40" customFormat="false" ht="15" hidden="false" customHeight="false" outlineLevel="0" collapsed="false">
      <c r="A40" s="22" t="str">
        <f aca="false">'Đội hình'!$B$8</f>
        <v>Đội Trắng</v>
      </c>
      <c r="B40" s="22" t="s">
        <v>105</v>
      </c>
      <c r="C40" s="13"/>
      <c r="D40" s="13"/>
      <c r="E40" s="22" t="str">
        <f aca="false">IF(OR($C40="",$D40=""),"",$C40&amp;" / "&amp;$D40)</f>
        <v/>
      </c>
      <c r="F40" s="23" t="str">
        <f aca="false">$A40&amp;"|"&amp;$B40</f>
        <v>Đội Trắng|Đôi nam nữ</v>
      </c>
    </row>
  </sheetData>
  <mergeCells count="11">
    <mergeCell ref="A1:F1"/>
    <mergeCell ref="A2:F2"/>
    <mergeCell ref="D4:F4"/>
    <mergeCell ref="D5:F5"/>
    <mergeCell ref="D6:F6"/>
    <mergeCell ref="D7:F7"/>
    <mergeCell ref="D8:F8"/>
    <mergeCell ref="A10:F10"/>
    <mergeCell ref="A11:F11"/>
    <mergeCell ref="A26:F26"/>
    <mergeCell ref="A27:F27"/>
  </mergeCells>
  <dataValidations count="3">
    <dataValidation allowBlank="true" errorStyle="stop" operator="between" showDropDown="false" showErrorMessage="false" showInputMessage="false" sqref="C5:C8" type="list">
      <formula1>DS_VDV</formula1>
      <formula2>0</formula2>
    </dataValidation>
    <dataValidation allowBlank="true" errorStyle="stop" operator="between" showDropDown="false" showErrorMessage="false" showInputMessage="false" sqref="C13:D24" type="list">
      <formula1>DS_VDV</formula1>
      <formula2>0</formula2>
    </dataValidation>
    <dataValidation allowBlank="true" errorStyle="stop" operator="between" showDropDown="false" showErrorMessage="false" showInputMessage="false" sqref="C29:D40" type="list">
      <formula1>DS_VDV</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692A"/>
    <pageSetUpPr fitToPage="false"/>
  </sheetPr>
  <dimension ref="A1:K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5" ySplit="5" topLeftCell="F6" activePane="bottomRight" state="frozen"/>
      <selection pane="topLeft" activeCell="A1" activeCellId="0" sqref="A1"/>
      <selection pane="topRight" activeCell="F1" activeCellId="0" sqref="F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7"/>
    <col collapsed="false" customWidth="true" hidden="false" outlineLevel="0" max="4" min="3" style="0" width="14"/>
    <col collapsed="false" customWidth="true" hidden="false" outlineLevel="0" max="5" min="5" style="0" width="13"/>
    <col collapsed="false" customWidth="true" hidden="false" outlineLevel="0" max="7" min="6" style="0" width="26"/>
    <col collapsed="false" customWidth="true" hidden="false" outlineLevel="0" max="9" min="8" style="0" width="9"/>
    <col collapsed="false" customWidth="true" hidden="false" outlineLevel="0" max="10" min="10" style="0" width="15"/>
    <col collapsed="false" customWidth="true" hidden="false" outlineLevel="0" max="11" min="11" style="0" width="14"/>
  </cols>
  <sheetData>
    <row r="1" customFormat="false" ht="30" hidden="false" customHeight="true" outlineLevel="0" collapsed="false">
      <c r="A1" s="1" t="s">
        <v>108</v>
      </c>
      <c r="B1" s="1"/>
      <c r="C1" s="1"/>
      <c r="D1" s="1"/>
      <c r="E1" s="1"/>
      <c r="F1" s="1"/>
      <c r="G1" s="1"/>
      <c r="H1" s="1"/>
      <c r="I1" s="1"/>
      <c r="J1" s="1"/>
      <c r="K1" s="1"/>
    </row>
    <row r="2" customFormat="false" ht="16.5" hidden="false" customHeight="true" outlineLevel="0" collapsed="false">
      <c r="A2" s="2" t="s">
        <v>109</v>
      </c>
      <c r="B2" s="2"/>
      <c r="C2" s="2"/>
      <c r="D2" s="2"/>
      <c r="E2" s="2"/>
      <c r="F2" s="2"/>
      <c r="G2" s="2"/>
      <c r="H2" s="2"/>
      <c r="I2" s="2"/>
      <c r="J2" s="2"/>
      <c r="K2" s="2"/>
    </row>
    <row r="4" customFormat="false" ht="19.5" hidden="false" customHeight="true" outlineLevel="0" collapsed="false">
      <c r="A4" s="18" t="s">
        <v>110</v>
      </c>
      <c r="B4" s="18"/>
      <c r="C4" s="18"/>
      <c r="D4" s="18"/>
      <c r="E4" s="18"/>
      <c r="F4" s="18"/>
      <c r="G4" s="18"/>
      <c r="H4" s="18"/>
      <c r="I4" s="18"/>
      <c r="J4" s="18"/>
      <c r="K4" s="18"/>
    </row>
    <row r="5" customFormat="false" ht="30" hidden="false" customHeight="true" outlineLevel="0" collapsed="false">
      <c r="A5" s="11" t="s">
        <v>111</v>
      </c>
      <c r="B5" s="11" t="s">
        <v>112</v>
      </c>
      <c r="C5" s="11" t="s">
        <v>113</v>
      </c>
      <c r="D5" s="11" t="s">
        <v>114</v>
      </c>
      <c r="E5" s="11" t="s">
        <v>98</v>
      </c>
      <c r="F5" s="11" t="s">
        <v>115</v>
      </c>
      <c r="G5" s="11" t="s">
        <v>116</v>
      </c>
      <c r="H5" s="11" t="s">
        <v>117</v>
      </c>
      <c r="I5" s="11" t="s">
        <v>118</v>
      </c>
      <c r="J5" s="11" t="s">
        <v>119</v>
      </c>
      <c r="K5" s="11" t="s">
        <v>120</v>
      </c>
    </row>
    <row r="6" customFormat="false" ht="15" hidden="false" customHeight="false" outlineLevel="0" collapsed="false">
      <c r="A6" s="25" t="n">
        <v>1</v>
      </c>
      <c r="B6" s="26" t="n">
        <v>1</v>
      </c>
      <c r="C6" s="19" t="str">
        <f aca="false">'Đội hình'!$B$5</f>
        <v>Đội Đỏ</v>
      </c>
      <c r="D6" s="19" t="str">
        <f aca="false">'Đội hình'!$B$6</f>
        <v>Đội Xanh</v>
      </c>
      <c r="E6" s="19" t="s">
        <v>103</v>
      </c>
      <c r="F6" s="27" t="str">
        <f aca="false">IFERROR(INDEX('Đội hình'!$E$13:$E$24,MATCH($C6&amp;"|"&amp;$E6,'Đội hình'!$F$13:$F$24,0))&amp;"","")</f>
        <v/>
      </c>
      <c r="G6" s="27" t="str">
        <f aca="false">IFERROR(INDEX('Đội hình'!$E$13:$E$24,MATCH($D6&amp;"|"&amp;$E6,'Đội hình'!$F$13:$F$24,0))&amp;"","")</f>
        <v/>
      </c>
      <c r="H6" s="28" t="n">
        <v>21</v>
      </c>
      <c r="I6" s="28" t="n">
        <v>18</v>
      </c>
      <c r="J6" s="29" t="str">
        <f aca="false">IF(OR($H6="",$I6=""),"",IF($H6&gt;$I6,$C6,IF($I6&gt;$H6,$D6,"⚠ hoà")))</f>
        <v>Đội Đỏ</v>
      </c>
      <c r="K6" s="25" t="str">
        <f aca="false">IF(OR($H6="",$I6=""),"",IF(OR(AND(MAX($H6,$I6)=21,MIN($H6,$I6)&lt;=19),AND(MAX($H6,$I6)&gt;=22,MAX($H6,$I6)&lt;=24,MAX($H6,$I6)-MIN($H6,$I6)=2),AND(MAX($H6,$I6)=25,MIN($H6,$I6)=24)),"✓","⚠ sai luật"))</f>
        <v>✓</v>
      </c>
    </row>
    <row r="7" customFormat="false" ht="15" hidden="false" customHeight="false" outlineLevel="0" collapsed="false">
      <c r="A7" s="12" t="n">
        <v>2</v>
      </c>
      <c r="B7" s="30" t="n">
        <v>1</v>
      </c>
      <c r="C7" s="22" t="str">
        <f aca="false">'Đội hình'!$B$5</f>
        <v>Đội Đỏ</v>
      </c>
      <c r="D7" s="22" t="str">
        <f aca="false">'Đội hình'!$B$6</f>
        <v>Đội Xanh</v>
      </c>
      <c r="E7" s="22" t="s">
        <v>104</v>
      </c>
      <c r="F7" s="31" t="str">
        <f aca="false">IFERROR(INDEX('Đội hình'!$E$13:$E$24,MATCH($C7&amp;"|"&amp;$E7,'Đội hình'!$F$13:$F$24,0))&amp;"","")</f>
        <v/>
      </c>
      <c r="G7" s="31" t="str">
        <f aca="false">IFERROR(INDEX('Đội hình'!$E$13:$E$24,MATCH($D7&amp;"|"&amp;$E7,'Đội hình'!$F$13:$F$24,0))&amp;"","")</f>
        <v/>
      </c>
      <c r="H7" s="32" t="n">
        <v>19</v>
      </c>
      <c r="I7" s="32" t="n">
        <v>21</v>
      </c>
      <c r="J7" s="33" t="str">
        <f aca="false">IF(OR($H7="",$I7=""),"",IF($H7&gt;$I7,$C7,IF($I7&gt;$H7,$D7,"⚠ hoà")))</f>
        <v>Đội Xanh</v>
      </c>
      <c r="K7" s="34" t="str">
        <f aca="false">IF(OR($H7="",$I7=""),"",IF(OR(AND(MAX($H7,$I7)=21,MIN($H7,$I7)&lt;=19),AND(MAX($H7,$I7)&gt;=22,MAX($H7,$I7)&lt;=24,MAX($H7,$I7)-MIN($H7,$I7)=2),AND(MAX($H7,$I7)=25,MIN($H7,$I7)=24)),"✓","⚠ sai luật"))</f>
        <v>✓</v>
      </c>
    </row>
    <row r="8" customFormat="false" ht="15" hidden="false" customHeight="false" outlineLevel="0" collapsed="false">
      <c r="A8" s="12" t="n">
        <v>3</v>
      </c>
      <c r="B8" s="30" t="n">
        <v>1</v>
      </c>
      <c r="C8" s="22" t="str">
        <f aca="false">'Đội hình'!$B$5</f>
        <v>Đội Đỏ</v>
      </c>
      <c r="D8" s="22" t="str">
        <f aca="false">'Đội hình'!$B$6</f>
        <v>Đội Xanh</v>
      </c>
      <c r="E8" s="22" t="s">
        <v>105</v>
      </c>
      <c r="F8" s="31" t="str">
        <f aca="false">IFERROR(INDEX('Đội hình'!$E$13:$E$24,MATCH($C8&amp;"|"&amp;$E8,'Đội hình'!$F$13:$F$24,0))&amp;"","")</f>
        <v/>
      </c>
      <c r="G8" s="31" t="str">
        <f aca="false">IFERROR(INDEX('Đội hình'!$E$13:$E$24,MATCH($D8&amp;"|"&amp;$E8,'Đội hình'!$F$13:$F$24,0))&amp;"","")</f>
        <v/>
      </c>
      <c r="H8" s="32" t="n">
        <v>25</v>
      </c>
      <c r="I8" s="32" t="n">
        <v>24</v>
      </c>
      <c r="J8" s="33" t="str">
        <f aca="false">IF(OR($H8="",$I8=""),"",IF($H8&gt;$I8,$C8,IF($I8&gt;$H8,$D8,"⚠ hoà")))</f>
        <v>Đội Đỏ</v>
      </c>
      <c r="K8" s="34" t="str">
        <f aca="false">IF(OR($H8="",$I8=""),"",IF(OR(AND(MAX($H8,$I8)=21,MIN($H8,$I8)&lt;=19),AND(MAX($H8,$I8)&gt;=22,MAX($H8,$I8)&lt;=24,MAX($H8,$I8)-MIN($H8,$I8)=2),AND(MAX($H8,$I8)=25,MIN($H8,$I8)=24)),"✓","⚠ sai luật"))</f>
        <v>✓</v>
      </c>
    </row>
    <row r="9" customFormat="false" ht="15" hidden="false" customHeight="false" outlineLevel="0" collapsed="false">
      <c r="A9" s="25" t="n">
        <v>4</v>
      </c>
      <c r="B9" s="26" t="n">
        <v>2</v>
      </c>
      <c r="C9" s="19" t="str">
        <f aca="false">'Đội hình'!$B$7</f>
        <v>Đội Vàng</v>
      </c>
      <c r="D9" s="19" t="str">
        <f aca="false">'Đội hình'!$B$8</f>
        <v>Đội Trắng</v>
      </c>
      <c r="E9" s="19" t="s">
        <v>103</v>
      </c>
      <c r="F9" s="27" t="str">
        <f aca="false">IFERROR(INDEX('Đội hình'!$E$13:$E$24,MATCH($C9&amp;"|"&amp;$E9,'Đội hình'!$F$13:$F$24,0))&amp;"","")</f>
        <v/>
      </c>
      <c r="G9" s="27" t="str">
        <f aca="false">IFERROR(INDEX('Đội hình'!$E$13:$E$24,MATCH($D9&amp;"|"&amp;$E9,'Đội hình'!$F$13:$F$24,0))&amp;"","")</f>
        <v/>
      </c>
      <c r="H9" s="28"/>
      <c r="I9" s="28"/>
      <c r="J9" s="29" t="str">
        <f aca="false">IF(OR($H9="",$I9=""),"",IF($H9&gt;$I9,$C9,IF($I9&gt;$H9,$D9,"⚠ hoà")))</f>
        <v/>
      </c>
      <c r="K9" s="25" t="str">
        <f aca="false">IF(OR($H9="",$I9=""),"",IF(OR(AND(MAX($H9,$I9)=21,MIN($H9,$I9)&lt;=19),AND(MAX($H9,$I9)&gt;=22,MAX($H9,$I9)&lt;=24,MAX($H9,$I9)-MIN($H9,$I9)=2),AND(MAX($H9,$I9)=25,MIN($H9,$I9)=24)),"✓","⚠ sai luật"))</f>
        <v/>
      </c>
    </row>
    <row r="10" customFormat="false" ht="15" hidden="false" customHeight="false" outlineLevel="0" collapsed="false">
      <c r="A10" s="12" t="n">
        <v>5</v>
      </c>
      <c r="B10" s="30" t="n">
        <v>2</v>
      </c>
      <c r="C10" s="22" t="str">
        <f aca="false">'Đội hình'!$B$7</f>
        <v>Đội Vàng</v>
      </c>
      <c r="D10" s="22" t="str">
        <f aca="false">'Đội hình'!$B$8</f>
        <v>Đội Trắng</v>
      </c>
      <c r="E10" s="22" t="s">
        <v>104</v>
      </c>
      <c r="F10" s="31" t="str">
        <f aca="false">IFERROR(INDEX('Đội hình'!$E$13:$E$24,MATCH($C10&amp;"|"&amp;$E10,'Đội hình'!$F$13:$F$24,0))&amp;"","")</f>
        <v/>
      </c>
      <c r="G10" s="31" t="str">
        <f aca="false">IFERROR(INDEX('Đội hình'!$E$13:$E$24,MATCH($D10&amp;"|"&amp;$E10,'Đội hình'!$F$13:$F$24,0))&amp;"","")</f>
        <v/>
      </c>
      <c r="H10" s="32"/>
      <c r="I10" s="32"/>
      <c r="J10" s="33" t="str">
        <f aca="false">IF(OR($H10="",$I10=""),"",IF($H10&gt;$I10,$C10,IF($I10&gt;$H10,$D10,"⚠ hoà")))</f>
        <v/>
      </c>
      <c r="K10" s="34" t="str">
        <f aca="false">IF(OR($H10="",$I10=""),"",IF(OR(AND(MAX($H10,$I10)=21,MIN($H10,$I10)&lt;=19),AND(MAX($H10,$I10)&gt;=22,MAX($H10,$I10)&lt;=24,MAX($H10,$I10)-MIN($H10,$I10)=2),AND(MAX($H10,$I10)=25,MIN($H10,$I10)=24)),"✓","⚠ sai luật"))</f>
        <v/>
      </c>
    </row>
    <row r="11" customFormat="false" ht="15" hidden="false" customHeight="false" outlineLevel="0" collapsed="false">
      <c r="A11" s="12" t="n">
        <v>6</v>
      </c>
      <c r="B11" s="30" t="n">
        <v>2</v>
      </c>
      <c r="C11" s="22" t="str">
        <f aca="false">'Đội hình'!$B$7</f>
        <v>Đội Vàng</v>
      </c>
      <c r="D11" s="22" t="str">
        <f aca="false">'Đội hình'!$B$8</f>
        <v>Đội Trắng</v>
      </c>
      <c r="E11" s="22" t="s">
        <v>105</v>
      </c>
      <c r="F11" s="31" t="str">
        <f aca="false">IFERROR(INDEX('Đội hình'!$E$13:$E$24,MATCH($C11&amp;"|"&amp;$E11,'Đội hình'!$F$13:$F$24,0))&amp;"","")</f>
        <v/>
      </c>
      <c r="G11" s="31" t="str">
        <f aca="false">IFERROR(INDEX('Đội hình'!$E$13:$E$24,MATCH($D11&amp;"|"&amp;$E11,'Đội hình'!$F$13:$F$24,0))&amp;"","")</f>
        <v/>
      </c>
      <c r="H11" s="32"/>
      <c r="I11" s="32"/>
      <c r="J11" s="33" t="str">
        <f aca="false">IF(OR($H11="",$I11=""),"",IF($H11&gt;$I11,$C11,IF($I11&gt;$H11,$D11,"⚠ hoà")))</f>
        <v/>
      </c>
      <c r="K11" s="34" t="str">
        <f aca="false">IF(OR($H11="",$I11=""),"",IF(OR(AND(MAX($H11,$I11)=21,MIN($H11,$I11)&lt;=19),AND(MAX($H11,$I11)&gt;=22,MAX($H11,$I11)&lt;=24,MAX($H11,$I11)-MIN($H11,$I11)=2),AND(MAX($H11,$I11)=25,MIN($H11,$I11)=24)),"✓","⚠ sai luật"))</f>
        <v/>
      </c>
    </row>
    <row r="12" customFormat="false" ht="15" hidden="false" customHeight="false" outlineLevel="0" collapsed="false">
      <c r="A12" s="25" t="n">
        <v>7</v>
      </c>
      <c r="B12" s="26" t="n">
        <v>3</v>
      </c>
      <c r="C12" s="19" t="str">
        <f aca="false">'Đội hình'!$B$5</f>
        <v>Đội Đỏ</v>
      </c>
      <c r="D12" s="19" t="str">
        <f aca="false">'Đội hình'!$B$7</f>
        <v>Đội Vàng</v>
      </c>
      <c r="E12" s="19" t="s">
        <v>103</v>
      </c>
      <c r="F12" s="27" t="str">
        <f aca="false">IFERROR(INDEX('Đội hình'!$E$13:$E$24,MATCH($C12&amp;"|"&amp;$E12,'Đội hình'!$F$13:$F$24,0))&amp;"","")</f>
        <v/>
      </c>
      <c r="G12" s="27" t="str">
        <f aca="false">IFERROR(INDEX('Đội hình'!$E$13:$E$24,MATCH($D12&amp;"|"&amp;$E12,'Đội hình'!$F$13:$F$24,0))&amp;"","")</f>
        <v/>
      </c>
      <c r="H12" s="28"/>
      <c r="I12" s="28"/>
      <c r="J12" s="29" t="str">
        <f aca="false">IF(OR($H12="",$I12=""),"",IF($H12&gt;$I12,$C12,IF($I12&gt;$H12,$D12,"⚠ hoà")))</f>
        <v/>
      </c>
      <c r="K12" s="25" t="str">
        <f aca="false">IF(OR($H12="",$I12=""),"",IF(OR(AND(MAX($H12,$I12)=21,MIN($H12,$I12)&lt;=19),AND(MAX($H12,$I12)&gt;=22,MAX($H12,$I12)&lt;=24,MAX($H12,$I12)-MIN($H12,$I12)=2),AND(MAX($H12,$I12)=25,MIN($H12,$I12)=24)),"✓","⚠ sai luật"))</f>
        <v/>
      </c>
    </row>
    <row r="13" customFormat="false" ht="15" hidden="false" customHeight="false" outlineLevel="0" collapsed="false">
      <c r="A13" s="12" t="n">
        <v>8</v>
      </c>
      <c r="B13" s="30" t="n">
        <v>3</v>
      </c>
      <c r="C13" s="22" t="str">
        <f aca="false">'Đội hình'!$B$5</f>
        <v>Đội Đỏ</v>
      </c>
      <c r="D13" s="22" t="str">
        <f aca="false">'Đội hình'!$B$7</f>
        <v>Đội Vàng</v>
      </c>
      <c r="E13" s="22" t="s">
        <v>104</v>
      </c>
      <c r="F13" s="31" t="str">
        <f aca="false">IFERROR(INDEX('Đội hình'!$E$13:$E$24,MATCH($C13&amp;"|"&amp;$E13,'Đội hình'!$F$13:$F$24,0))&amp;"","")</f>
        <v/>
      </c>
      <c r="G13" s="31" t="str">
        <f aca="false">IFERROR(INDEX('Đội hình'!$E$13:$E$24,MATCH($D13&amp;"|"&amp;$E13,'Đội hình'!$F$13:$F$24,0))&amp;"","")</f>
        <v/>
      </c>
      <c r="H13" s="32"/>
      <c r="I13" s="32"/>
      <c r="J13" s="33" t="str">
        <f aca="false">IF(OR($H13="",$I13=""),"",IF($H13&gt;$I13,$C13,IF($I13&gt;$H13,$D13,"⚠ hoà")))</f>
        <v/>
      </c>
      <c r="K13" s="34" t="str">
        <f aca="false">IF(OR($H13="",$I13=""),"",IF(OR(AND(MAX($H13,$I13)=21,MIN($H13,$I13)&lt;=19),AND(MAX($H13,$I13)&gt;=22,MAX($H13,$I13)&lt;=24,MAX($H13,$I13)-MIN($H13,$I13)=2),AND(MAX($H13,$I13)=25,MIN($H13,$I13)=24)),"✓","⚠ sai luật"))</f>
        <v/>
      </c>
    </row>
    <row r="14" customFormat="false" ht="15" hidden="false" customHeight="false" outlineLevel="0" collapsed="false">
      <c r="A14" s="12" t="n">
        <v>9</v>
      </c>
      <c r="B14" s="30" t="n">
        <v>3</v>
      </c>
      <c r="C14" s="22" t="str">
        <f aca="false">'Đội hình'!$B$5</f>
        <v>Đội Đỏ</v>
      </c>
      <c r="D14" s="22" t="str">
        <f aca="false">'Đội hình'!$B$7</f>
        <v>Đội Vàng</v>
      </c>
      <c r="E14" s="22" t="s">
        <v>105</v>
      </c>
      <c r="F14" s="31" t="str">
        <f aca="false">IFERROR(INDEX('Đội hình'!$E$13:$E$24,MATCH($C14&amp;"|"&amp;$E14,'Đội hình'!$F$13:$F$24,0))&amp;"","")</f>
        <v/>
      </c>
      <c r="G14" s="31" t="str">
        <f aca="false">IFERROR(INDEX('Đội hình'!$E$13:$E$24,MATCH($D14&amp;"|"&amp;$E14,'Đội hình'!$F$13:$F$24,0))&amp;"","")</f>
        <v/>
      </c>
      <c r="H14" s="32"/>
      <c r="I14" s="32"/>
      <c r="J14" s="33" t="str">
        <f aca="false">IF(OR($H14="",$I14=""),"",IF($H14&gt;$I14,$C14,IF($I14&gt;$H14,$D14,"⚠ hoà")))</f>
        <v/>
      </c>
      <c r="K14" s="34" t="str">
        <f aca="false">IF(OR($H14="",$I14=""),"",IF(OR(AND(MAX($H14,$I14)=21,MIN($H14,$I14)&lt;=19),AND(MAX($H14,$I14)&gt;=22,MAX($H14,$I14)&lt;=24,MAX($H14,$I14)-MIN($H14,$I14)=2),AND(MAX($H14,$I14)=25,MIN($H14,$I14)=24)),"✓","⚠ sai luật"))</f>
        <v/>
      </c>
    </row>
    <row r="15" customFormat="false" ht="15" hidden="false" customHeight="false" outlineLevel="0" collapsed="false">
      <c r="A15" s="25" t="n">
        <v>10</v>
      </c>
      <c r="B15" s="26" t="n">
        <v>4</v>
      </c>
      <c r="C15" s="19" t="str">
        <f aca="false">'Đội hình'!$B$6</f>
        <v>Đội Xanh</v>
      </c>
      <c r="D15" s="19" t="str">
        <f aca="false">'Đội hình'!$B$8</f>
        <v>Đội Trắng</v>
      </c>
      <c r="E15" s="19" t="s">
        <v>103</v>
      </c>
      <c r="F15" s="27" t="str">
        <f aca="false">IFERROR(INDEX('Đội hình'!$E$13:$E$24,MATCH($C15&amp;"|"&amp;$E15,'Đội hình'!$F$13:$F$24,0))&amp;"","")</f>
        <v/>
      </c>
      <c r="G15" s="27" t="str">
        <f aca="false">IFERROR(INDEX('Đội hình'!$E$13:$E$24,MATCH($D15&amp;"|"&amp;$E15,'Đội hình'!$F$13:$F$24,0))&amp;"","")</f>
        <v/>
      </c>
      <c r="H15" s="28"/>
      <c r="I15" s="28"/>
      <c r="J15" s="29" t="str">
        <f aca="false">IF(OR($H15="",$I15=""),"",IF($H15&gt;$I15,$C15,IF($I15&gt;$H15,$D15,"⚠ hoà")))</f>
        <v/>
      </c>
      <c r="K15" s="25" t="str">
        <f aca="false">IF(OR($H15="",$I15=""),"",IF(OR(AND(MAX($H15,$I15)=21,MIN($H15,$I15)&lt;=19),AND(MAX($H15,$I15)&gt;=22,MAX($H15,$I15)&lt;=24,MAX($H15,$I15)-MIN($H15,$I15)=2),AND(MAX($H15,$I15)=25,MIN($H15,$I15)=24)),"✓","⚠ sai luật"))</f>
        <v/>
      </c>
    </row>
    <row r="16" customFormat="false" ht="15" hidden="false" customHeight="false" outlineLevel="0" collapsed="false">
      <c r="A16" s="12" t="n">
        <v>11</v>
      </c>
      <c r="B16" s="30" t="n">
        <v>4</v>
      </c>
      <c r="C16" s="22" t="str">
        <f aca="false">'Đội hình'!$B$6</f>
        <v>Đội Xanh</v>
      </c>
      <c r="D16" s="22" t="str">
        <f aca="false">'Đội hình'!$B$8</f>
        <v>Đội Trắng</v>
      </c>
      <c r="E16" s="22" t="s">
        <v>104</v>
      </c>
      <c r="F16" s="31" t="str">
        <f aca="false">IFERROR(INDEX('Đội hình'!$E$13:$E$24,MATCH($C16&amp;"|"&amp;$E16,'Đội hình'!$F$13:$F$24,0))&amp;"","")</f>
        <v/>
      </c>
      <c r="G16" s="31" t="str">
        <f aca="false">IFERROR(INDEX('Đội hình'!$E$13:$E$24,MATCH($D16&amp;"|"&amp;$E16,'Đội hình'!$F$13:$F$24,0))&amp;"","")</f>
        <v/>
      </c>
      <c r="H16" s="32"/>
      <c r="I16" s="32"/>
      <c r="J16" s="33" t="str">
        <f aca="false">IF(OR($H16="",$I16=""),"",IF($H16&gt;$I16,$C16,IF($I16&gt;$H16,$D16,"⚠ hoà")))</f>
        <v/>
      </c>
      <c r="K16" s="34" t="str">
        <f aca="false">IF(OR($H16="",$I16=""),"",IF(OR(AND(MAX($H16,$I16)=21,MIN($H16,$I16)&lt;=19),AND(MAX($H16,$I16)&gt;=22,MAX($H16,$I16)&lt;=24,MAX($H16,$I16)-MIN($H16,$I16)=2),AND(MAX($H16,$I16)=25,MIN($H16,$I16)=24)),"✓","⚠ sai luật"))</f>
        <v/>
      </c>
    </row>
    <row r="17" customFormat="false" ht="15" hidden="false" customHeight="false" outlineLevel="0" collapsed="false">
      <c r="A17" s="12" t="n">
        <v>12</v>
      </c>
      <c r="B17" s="30" t="n">
        <v>4</v>
      </c>
      <c r="C17" s="22" t="str">
        <f aca="false">'Đội hình'!$B$6</f>
        <v>Đội Xanh</v>
      </c>
      <c r="D17" s="22" t="str">
        <f aca="false">'Đội hình'!$B$8</f>
        <v>Đội Trắng</v>
      </c>
      <c r="E17" s="22" t="s">
        <v>105</v>
      </c>
      <c r="F17" s="31" t="str">
        <f aca="false">IFERROR(INDEX('Đội hình'!$E$13:$E$24,MATCH($C17&amp;"|"&amp;$E17,'Đội hình'!$F$13:$F$24,0))&amp;"","")</f>
        <v/>
      </c>
      <c r="G17" s="31" t="str">
        <f aca="false">IFERROR(INDEX('Đội hình'!$E$13:$E$24,MATCH($D17&amp;"|"&amp;$E17,'Đội hình'!$F$13:$F$24,0))&amp;"","")</f>
        <v/>
      </c>
      <c r="H17" s="32"/>
      <c r="I17" s="32"/>
      <c r="J17" s="33" t="str">
        <f aca="false">IF(OR($H17="",$I17=""),"",IF($H17&gt;$I17,$C17,IF($I17&gt;$H17,$D17,"⚠ hoà")))</f>
        <v/>
      </c>
      <c r="K17" s="34" t="str">
        <f aca="false">IF(OR($H17="",$I17=""),"",IF(OR(AND(MAX($H17,$I17)=21,MIN($H17,$I17)&lt;=19),AND(MAX($H17,$I17)&gt;=22,MAX($H17,$I17)&lt;=24,MAX($H17,$I17)-MIN($H17,$I17)=2),AND(MAX($H17,$I17)=25,MIN($H17,$I17)=24)),"✓","⚠ sai luật"))</f>
        <v/>
      </c>
    </row>
    <row r="18" customFormat="false" ht="15" hidden="false" customHeight="false" outlineLevel="0" collapsed="false">
      <c r="A18" s="25" t="n">
        <v>13</v>
      </c>
      <c r="B18" s="26" t="n">
        <v>5</v>
      </c>
      <c r="C18" s="19" t="str">
        <f aca="false">'Đội hình'!$B$5</f>
        <v>Đội Đỏ</v>
      </c>
      <c r="D18" s="19" t="str">
        <f aca="false">'Đội hình'!$B$8</f>
        <v>Đội Trắng</v>
      </c>
      <c r="E18" s="19" t="s">
        <v>103</v>
      </c>
      <c r="F18" s="27" t="str">
        <f aca="false">IFERROR(INDEX('Đội hình'!$E$13:$E$24,MATCH($C18&amp;"|"&amp;$E18,'Đội hình'!$F$13:$F$24,0))&amp;"","")</f>
        <v/>
      </c>
      <c r="G18" s="27" t="str">
        <f aca="false">IFERROR(INDEX('Đội hình'!$E$13:$E$24,MATCH($D18&amp;"|"&amp;$E18,'Đội hình'!$F$13:$F$24,0))&amp;"","")</f>
        <v/>
      </c>
      <c r="H18" s="28"/>
      <c r="I18" s="28"/>
      <c r="J18" s="29" t="str">
        <f aca="false">IF(OR($H18="",$I18=""),"",IF($H18&gt;$I18,$C18,IF($I18&gt;$H18,$D18,"⚠ hoà")))</f>
        <v/>
      </c>
      <c r="K18" s="25" t="str">
        <f aca="false">IF(OR($H18="",$I18=""),"",IF(OR(AND(MAX($H18,$I18)=21,MIN($H18,$I18)&lt;=19),AND(MAX($H18,$I18)&gt;=22,MAX($H18,$I18)&lt;=24,MAX($H18,$I18)-MIN($H18,$I18)=2),AND(MAX($H18,$I18)=25,MIN($H18,$I18)=24)),"✓","⚠ sai luật"))</f>
        <v/>
      </c>
    </row>
    <row r="19" customFormat="false" ht="15" hidden="false" customHeight="false" outlineLevel="0" collapsed="false">
      <c r="A19" s="12" t="n">
        <v>14</v>
      </c>
      <c r="B19" s="30" t="n">
        <v>5</v>
      </c>
      <c r="C19" s="22" t="str">
        <f aca="false">'Đội hình'!$B$5</f>
        <v>Đội Đỏ</v>
      </c>
      <c r="D19" s="22" t="str">
        <f aca="false">'Đội hình'!$B$8</f>
        <v>Đội Trắng</v>
      </c>
      <c r="E19" s="22" t="s">
        <v>104</v>
      </c>
      <c r="F19" s="31" t="str">
        <f aca="false">IFERROR(INDEX('Đội hình'!$E$13:$E$24,MATCH($C19&amp;"|"&amp;$E19,'Đội hình'!$F$13:$F$24,0))&amp;"","")</f>
        <v/>
      </c>
      <c r="G19" s="31" t="str">
        <f aca="false">IFERROR(INDEX('Đội hình'!$E$13:$E$24,MATCH($D19&amp;"|"&amp;$E19,'Đội hình'!$F$13:$F$24,0))&amp;"","")</f>
        <v/>
      </c>
      <c r="H19" s="32"/>
      <c r="I19" s="32"/>
      <c r="J19" s="33" t="str">
        <f aca="false">IF(OR($H19="",$I19=""),"",IF($H19&gt;$I19,$C19,IF($I19&gt;$H19,$D19,"⚠ hoà")))</f>
        <v/>
      </c>
      <c r="K19" s="34" t="str">
        <f aca="false">IF(OR($H19="",$I19=""),"",IF(OR(AND(MAX($H19,$I19)=21,MIN($H19,$I19)&lt;=19),AND(MAX($H19,$I19)&gt;=22,MAX($H19,$I19)&lt;=24,MAX($H19,$I19)-MIN($H19,$I19)=2),AND(MAX($H19,$I19)=25,MIN($H19,$I19)=24)),"✓","⚠ sai luật"))</f>
        <v/>
      </c>
    </row>
    <row r="20" customFormat="false" ht="15" hidden="false" customHeight="false" outlineLevel="0" collapsed="false">
      <c r="A20" s="12" t="n">
        <v>15</v>
      </c>
      <c r="B20" s="30" t="n">
        <v>5</v>
      </c>
      <c r="C20" s="22" t="str">
        <f aca="false">'Đội hình'!$B$5</f>
        <v>Đội Đỏ</v>
      </c>
      <c r="D20" s="22" t="str">
        <f aca="false">'Đội hình'!$B$8</f>
        <v>Đội Trắng</v>
      </c>
      <c r="E20" s="22" t="s">
        <v>105</v>
      </c>
      <c r="F20" s="31" t="str">
        <f aca="false">IFERROR(INDEX('Đội hình'!$E$13:$E$24,MATCH($C20&amp;"|"&amp;$E20,'Đội hình'!$F$13:$F$24,0))&amp;"","")</f>
        <v/>
      </c>
      <c r="G20" s="31" t="str">
        <f aca="false">IFERROR(INDEX('Đội hình'!$E$13:$E$24,MATCH($D20&amp;"|"&amp;$E20,'Đội hình'!$F$13:$F$24,0))&amp;"","")</f>
        <v/>
      </c>
      <c r="H20" s="32"/>
      <c r="I20" s="32"/>
      <c r="J20" s="33" t="str">
        <f aca="false">IF(OR($H20="",$I20=""),"",IF($H20&gt;$I20,$C20,IF($I20&gt;$H20,$D20,"⚠ hoà")))</f>
        <v/>
      </c>
      <c r="K20" s="34" t="str">
        <f aca="false">IF(OR($H20="",$I20=""),"",IF(OR(AND(MAX($H20,$I20)=21,MIN($H20,$I20)&lt;=19),AND(MAX($H20,$I20)&gt;=22,MAX($H20,$I20)&lt;=24,MAX($H20,$I20)-MIN($H20,$I20)=2),AND(MAX($H20,$I20)=25,MIN($H20,$I20)=24)),"✓","⚠ sai luật"))</f>
        <v/>
      </c>
    </row>
    <row r="21" customFormat="false" ht="15" hidden="false" customHeight="false" outlineLevel="0" collapsed="false">
      <c r="A21" s="25" t="n">
        <v>16</v>
      </c>
      <c r="B21" s="26" t="n">
        <v>6</v>
      </c>
      <c r="C21" s="19" t="str">
        <f aca="false">'Đội hình'!$B$6</f>
        <v>Đội Xanh</v>
      </c>
      <c r="D21" s="19" t="str">
        <f aca="false">'Đội hình'!$B$7</f>
        <v>Đội Vàng</v>
      </c>
      <c r="E21" s="19" t="s">
        <v>103</v>
      </c>
      <c r="F21" s="27" t="str">
        <f aca="false">IFERROR(INDEX('Đội hình'!$E$13:$E$24,MATCH($C21&amp;"|"&amp;$E21,'Đội hình'!$F$13:$F$24,0))&amp;"","")</f>
        <v/>
      </c>
      <c r="G21" s="27" t="str">
        <f aca="false">IFERROR(INDEX('Đội hình'!$E$13:$E$24,MATCH($D21&amp;"|"&amp;$E21,'Đội hình'!$F$13:$F$24,0))&amp;"","")</f>
        <v/>
      </c>
      <c r="H21" s="28"/>
      <c r="I21" s="28"/>
      <c r="J21" s="29" t="str">
        <f aca="false">IF(OR($H21="",$I21=""),"",IF($H21&gt;$I21,$C21,IF($I21&gt;$H21,$D21,"⚠ hoà")))</f>
        <v/>
      </c>
      <c r="K21" s="25" t="str">
        <f aca="false">IF(OR($H21="",$I21=""),"",IF(OR(AND(MAX($H21,$I21)=21,MIN($H21,$I21)&lt;=19),AND(MAX($H21,$I21)&gt;=22,MAX($H21,$I21)&lt;=24,MAX($H21,$I21)-MIN($H21,$I21)=2),AND(MAX($H21,$I21)=25,MIN($H21,$I21)=24)),"✓","⚠ sai luật"))</f>
        <v/>
      </c>
    </row>
    <row r="22" customFormat="false" ht="15" hidden="false" customHeight="false" outlineLevel="0" collapsed="false">
      <c r="A22" s="12" t="n">
        <v>17</v>
      </c>
      <c r="B22" s="30" t="n">
        <v>6</v>
      </c>
      <c r="C22" s="22" t="str">
        <f aca="false">'Đội hình'!$B$6</f>
        <v>Đội Xanh</v>
      </c>
      <c r="D22" s="22" t="str">
        <f aca="false">'Đội hình'!$B$7</f>
        <v>Đội Vàng</v>
      </c>
      <c r="E22" s="22" t="s">
        <v>104</v>
      </c>
      <c r="F22" s="31" t="str">
        <f aca="false">IFERROR(INDEX('Đội hình'!$E$13:$E$24,MATCH($C22&amp;"|"&amp;$E22,'Đội hình'!$F$13:$F$24,0))&amp;"","")</f>
        <v/>
      </c>
      <c r="G22" s="31" t="str">
        <f aca="false">IFERROR(INDEX('Đội hình'!$E$13:$E$24,MATCH($D22&amp;"|"&amp;$E22,'Đội hình'!$F$13:$F$24,0))&amp;"","")</f>
        <v/>
      </c>
      <c r="H22" s="32"/>
      <c r="I22" s="32"/>
      <c r="J22" s="33" t="str">
        <f aca="false">IF(OR($H22="",$I22=""),"",IF($H22&gt;$I22,$C22,IF($I22&gt;$H22,$D22,"⚠ hoà")))</f>
        <v/>
      </c>
      <c r="K22" s="34" t="str">
        <f aca="false">IF(OR($H22="",$I22=""),"",IF(OR(AND(MAX($H22,$I22)=21,MIN($H22,$I22)&lt;=19),AND(MAX($H22,$I22)&gt;=22,MAX($H22,$I22)&lt;=24,MAX($H22,$I22)-MIN($H22,$I22)=2),AND(MAX($H22,$I22)=25,MIN($H22,$I22)=24)),"✓","⚠ sai luật"))</f>
        <v/>
      </c>
    </row>
    <row r="23" customFormat="false" ht="15" hidden="false" customHeight="false" outlineLevel="0" collapsed="false">
      <c r="A23" s="12" t="n">
        <v>18</v>
      </c>
      <c r="B23" s="30" t="n">
        <v>6</v>
      </c>
      <c r="C23" s="22" t="str">
        <f aca="false">'Đội hình'!$B$6</f>
        <v>Đội Xanh</v>
      </c>
      <c r="D23" s="22" t="str">
        <f aca="false">'Đội hình'!$B$7</f>
        <v>Đội Vàng</v>
      </c>
      <c r="E23" s="22" t="s">
        <v>105</v>
      </c>
      <c r="F23" s="31" t="str">
        <f aca="false">IFERROR(INDEX('Đội hình'!$E$13:$E$24,MATCH($C23&amp;"|"&amp;$E23,'Đội hình'!$F$13:$F$24,0))&amp;"","")</f>
        <v/>
      </c>
      <c r="G23" s="31" t="str">
        <f aca="false">IFERROR(INDEX('Đội hình'!$E$13:$E$24,MATCH($D23&amp;"|"&amp;$E23,'Đội hình'!$F$13:$F$24,0))&amp;"","")</f>
        <v/>
      </c>
      <c r="H23" s="32"/>
      <c r="I23" s="32"/>
      <c r="J23" s="33" t="str">
        <f aca="false">IF(OR($H23="",$I23=""),"",IF($H23&gt;$I23,$C23,IF($I23&gt;$H23,$D23,"⚠ hoà")))</f>
        <v/>
      </c>
      <c r="K23" s="34" t="str">
        <f aca="false">IF(OR($H23="",$I23=""),"",IF(OR(AND(MAX($H23,$I23)=21,MIN($H23,$I23)&lt;=19),AND(MAX($H23,$I23)&gt;=22,MAX($H23,$I23)&lt;=24,MAX($H23,$I23)-MIN($H23,$I23)=2),AND(MAX($H23,$I23)=25,MIN($H23,$I23)=24)),"✓","⚠ sai luật"))</f>
        <v/>
      </c>
    </row>
  </sheetData>
  <mergeCells count="3">
    <mergeCell ref="A1:K1"/>
    <mergeCell ref="A2:K2"/>
    <mergeCell ref="A4:K4"/>
  </mergeCells>
  <conditionalFormatting sqref="K6:K23">
    <cfRule type="cellIs" priority="2" operator="equal" aboveAverage="0" equalAverage="0" bottom="0" percent="0" rank="0" text="" dxfId="1">
      <formula>"⚠ sai luật"</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692A"/>
    <pageSetUpPr fitToPage="false"/>
  </sheetPr>
  <dimension ref="A1:K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8"/>
    <col collapsed="false" customWidth="true" hidden="false" outlineLevel="0" max="3" min="3" style="0" width="8"/>
    <col collapsed="false" customWidth="true" hidden="false" outlineLevel="0" max="4" min="4" style="0" width="9"/>
    <col collapsed="false" customWidth="true" hidden="false" outlineLevel="0" max="5" min="5" style="0" width="8"/>
    <col collapsed="false" customWidth="true" hidden="false" outlineLevel="0" max="6" min="6" style="0" width="14"/>
    <col collapsed="false" customWidth="true" hidden="false" outlineLevel="0" max="7" min="7" style="0" width="13"/>
    <col collapsed="false" customWidth="true" hidden="false" outlineLevel="0" max="8" min="8" style="0" width="12"/>
    <col collapsed="false" customWidth="true" hidden="false" outlineLevel="0" max="9" min="9" style="0" width="11"/>
    <col collapsed="false" customWidth="true" hidden="false" outlineLevel="0" max="10" min="10" style="0" width="15"/>
    <col collapsed="false" customWidth="true" hidden="false" outlineLevel="0" max="11" min="11" style="0" width="30"/>
  </cols>
  <sheetData>
    <row r="1" customFormat="false" ht="30" hidden="false" customHeight="true" outlineLevel="0" collapsed="false">
      <c r="A1" s="1" t="s">
        <v>121</v>
      </c>
      <c r="B1" s="1"/>
      <c r="C1" s="1"/>
      <c r="D1" s="1"/>
      <c r="E1" s="1"/>
      <c r="F1" s="1"/>
      <c r="G1" s="1"/>
      <c r="H1" s="1"/>
      <c r="I1" s="1"/>
      <c r="J1" s="1"/>
      <c r="K1" s="1"/>
    </row>
    <row r="2" customFormat="false" ht="16.5" hidden="false" customHeight="true" outlineLevel="0" collapsed="false">
      <c r="A2" s="2" t="s">
        <v>122</v>
      </c>
      <c r="B2" s="2"/>
      <c r="C2" s="2"/>
      <c r="D2" s="2"/>
      <c r="E2" s="2"/>
      <c r="F2" s="2"/>
      <c r="G2" s="2"/>
      <c r="H2" s="2"/>
      <c r="I2" s="2"/>
      <c r="J2" s="2"/>
      <c r="K2" s="2"/>
    </row>
    <row r="4" customFormat="false" ht="30" hidden="false" customHeight="true" outlineLevel="0" collapsed="false">
      <c r="A4" s="11" t="s">
        <v>123</v>
      </c>
      <c r="B4" s="11" t="s">
        <v>76</v>
      </c>
      <c r="C4" s="11" t="s">
        <v>124</v>
      </c>
      <c r="D4" s="11" t="s">
        <v>125</v>
      </c>
      <c r="E4" s="11" t="s">
        <v>126</v>
      </c>
      <c r="F4" s="11" t="s">
        <v>127</v>
      </c>
      <c r="G4" s="11" t="s">
        <v>128</v>
      </c>
      <c r="H4" s="11" t="s">
        <v>129</v>
      </c>
      <c r="I4" s="11" t="s">
        <v>130</v>
      </c>
      <c r="J4" s="11" t="s">
        <v>131</v>
      </c>
      <c r="K4" s="11" t="s">
        <v>132</v>
      </c>
    </row>
    <row r="5" customFormat="false" ht="16.15" hidden="false" customHeight="false" outlineLevel="0" collapsed="false">
      <c r="A5" s="35" t="n">
        <f aca="false">IF($C5=0,"",RANK($J5,$J$5:$J$8,0))</f>
        <v>1</v>
      </c>
      <c r="B5" s="22" t="str">
        <f aca="false">'Đội hình'!$B$5</f>
        <v>Đội Đỏ</v>
      </c>
      <c r="C5" s="36" t="n">
        <f aca="false">SUMPRODUCT((('Vòng loại'!$C$6:$C$23=$B5)+('Vòng loại'!$D$6:$D$23=$B5))*('Vòng loại'!$H$6:$H$23&lt;&gt;"")*('Vòng loại'!$I$6:$I$23&lt;&gt;""))</f>
        <v>3</v>
      </c>
      <c r="D5" s="36" t="n">
        <f aca="false">COUNTIF('Vòng loại'!$J$6:$J$23,$B5)</f>
        <v>2</v>
      </c>
      <c r="E5" s="36" t="n">
        <f aca="false">$C5-$D5</f>
        <v>1</v>
      </c>
      <c r="F5" s="37" t="n">
        <f aca="false">SUMPRODUCT(('Vòng loại'!$C$6:$C$23=$B5)*'Vòng loại'!$H$6:$H$23)+SUMPRODUCT(('Vòng loại'!$D$6:$D$23=$B5)*'Vòng loại'!$I$6:$I$23)</f>
        <v>65</v>
      </c>
      <c r="G5" s="36" t="n">
        <f aca="false">SUMPRODUCT(('Vòng loại'!$C$6:$C$23=$B5)*'Vòng loại'!$I$6:$I$23)+SUMPRODUCT(('Vòng loại'!$D$6:$D$23=$B5)*'Vòng loại'!$H$6:$H$23)</f>
        <v>63</v>
      </c>
      <c r="H5" s="36" t="n">
        <f aca="false">$F5-$G5</f>
        <v>2</v>
      </c>
      <c r="I5" s="38" t="n">
        <v>0</v>
      </c>
      <c r="J5" s="39" t="n">
        <f aca="false">$F5*1000000+$D5*10000+($H5+500)+$I5</f>
        <v>65020502</v>
      </c>
      <c r="K5" s="22" t="str">
        <f aca="false">IF($A5="","",IF($A5&lt;=2,"Tranh hạng Nhất – Nhì","Tranh hạng Ba – Khuyến khích"))</f>
        <v>Tranh hạng Nhất – Nhì</v>
      </c>
    </row>
    <row r="6" customFormat="false" ht="16.15" hidden="false" customHeight="false" outlineLevel="0" collapsed="false">
      <c r="A6" s="35" t="n">
        <f aca="false">IF($C6=0,"",RANK($J6,$J$5:$J$8,0))</f>
        <v>2</v>
      </c>
      <c r="B6" s="22" t="str">
        <f aca="false">'Đội hình'!$B$6</f>
        <v>Đội Xanh</v>
      </c>
      <c r="C6" s="36" t="n">
        <f aca="false">SUMPRODUCT((('Vòng loại'!$C$6:$C$23=$B6)+('Vòng loại'!$D$6:$D$23=$B6))*('Vòng loại'!$H$6:$H$23&lt;&gt;"")*('Vòng loại'!$I$6:$I$23&lt;&gt;""))</f>
        <v>3</v>
      </c>
      <c r="D6" s="36" t="n">
        <f aca="false">COUNTIF('Vòng loại'!$J$6:$J$23,$B6)</f>
        <v>1</v>
      </c>
      <c r="E6" s="36" t="n">
        <f aca="false">$C6-$D6</f>
        <v>2</v>
      </c>
      <c r="F6" s="37" t="n">
        <f aca="false">SUMPRODUCT(('Vòng loại'!$C$6:$C$23=$B6)*'Vòng loại'!$H$6:$H$23)+SUMPRODUCT(('Vòng loại'!$D$6:$D$23=$B6)*'Vòng loại'!$I$6:$I$23)</f>
        <v>63</v>
      </c>
      <c r="G6" s="36" t="n">
        <f aca="false">SUMPRODUCT(('Vòng loại'!$C$6:$C$23=$B6)*'Vòng loại'!$I$6:$I$23)+SUMPRODUCT(('Vòng loại'!$D$6:$D$23=$B6)*'Vòng loại'!$H$6:$H$23)</f>
        <v>65</v>
      </c>
      <c r="H6" s="36" t="n">
        <f aca="false">$F6-$G6</f>
        <v>-2</v>
      </c>
      <c r="I6" s="38" t="n">
        <v>0</v>
      </c>
      <c r="J6" s="39" t="n">
        <f aca="false">$F6*1000000+$D6*10000+($H6+500)+$I6</f>
        <v>63010498</v>
      </c>
      <c r="K6" s="22" t="str">
        <f aca="false">IF($A6="","",IF($A6&lt;=2,"Tranh hạng Nhất – Nhì","Tranh hạng Ba – Khuyến khích"))</f>
        <v>Tranh hạng Nhất – Nhì</v>
      </c>
    </row>
    <row r="7" customFormat="false" ht="16.15" hidden="false" customHeight="false" outlineLevel="0" collapsed="false">
      <c r="A7" s="35" t="str">
        <f aca="false">IF($C7=0,"",RANK($J7,$J$5:$J$8,0))</f>
        <v/>
      </c>
      <c r="B7" s="22" t="str">
        <f aca="false">'Đội hình'!$B$7</f>
        <v>Đội Vàng</v>
      </c>
      <c r="C7" s="36" t="n">
        <f aca="false">SUMPRODUCT((('Vòng loại'!$C$6:$C$23=$B7)+('Vòng loại'!$D$6:$D$23=$B7))*('Vòng loại'!$H$6:$H$23&lt;&gt;"")*('Vòng loại'!$I$6:$I$23&lt;&gt;""))</f>
        <v>0</v>
      </c>
      <c r="D7" s="36" t="n">
        <f aca="false">COUNTIF('Vòng loại'!$J$6:$J$23,$B7)</f>
        <v>0</v>
      </c>
      <c r="E7" s="36" t="n">
        <f aca="false">$C7-$D7</f>
        <v>0</v>
      </c>
      <c r="F7" s="37" t="n">
        <f aca="false">SUMPRODUCT(('Vòng loại'!$C$6:$C$23=$B7)*'Vòng loại'!$H$6:$H$23)+SUMPRODUCT(('Vòng loại'!$D$6:$D$23=$B7)*'Vòng loại'!$I$6:$I$23)</f>
        <v>0</v>
      </c>
      <c r="G7" s="36" t="n">
        <f aca="false">SUMPRODUCT(('Vòng loại'!$C$6:$C$23=$B7)*'Vòng loại'!$I$6:$I$23)+SUMPRODUCT(('Vòng loại'!$D$6:$D$23=$B7)*'Vòng loại'!$H$6:$H$23)</f>
        <v>0</v>
      </c>
      <c r="H7" s="36" t="n">
        <f aca="false">$F7-$G7</f>
        <v>0</v>
      </c>
      <c r="I7" s="38" t="n">
        <v>0</v>
      </c>
      <c r="J7" s="39" t="n">
        <f aca="false">$F7*1000000+$D7*10000+($H7+500)+$I7</f>
        <v>500</v>
      </c>
      <c r="K7" s="22" t="str">
        <f aca="false">IF($A7="","",IF($A7&lt;=2,"Tranh hạng Nhất – Nhì","Tranh hạng Ba – Khuyến khích"))</f>
        <v/>
      </c>
    </row>
    <row r="8" customFormat="false" ht="16.15" hidden="false" customHeight="false" outlineLevel="0" collapsed="false">
      <c r="A8" s="35" t="str">
        <f aca="false">IF($C8=0,"",RANK($J8,$J$5:$J$8,0))</f>
        <v/>
      </c>
      <c r="B8" s="22" t="str">
        <f aca="false">'Đội hình'!$B$8</f>
        <v>Đội Trắng</v>
      </c>
      <c r="C8" s="36" t="n">
        <f aca="false">SUMPRODUCT((('Vòng loại'!$C$6:$C$23=$B8)+('Vòng loại'!$D$6:$D$23=$B8))*('Vòng loại'!$H$6:$H$23&lt;&gt;"")*('Vòng loại'!$I$6:$I$23&lt;&gt;""))</f>
        <v>0</v>
      </c>
      <c r="D8" s="36" t="n">
        <f aca="false">COUNTIF('Vòng loại'!$J$6:$J$23,$B8)</f>
        <v>0</v>
      </c>
      <c r="E8" s="36" t="n">
        <f aca="false">$C8-$D8</f>
        <v>0</v>
      </c>
      <c r="F8" s="37" t="n">
        <f aca="false">SUMPRODUCT(('Vòng loại'!$C$6:$C$23=$B8)*'Vòng loại'!$H$6:$H$23)+SUMPRODUCT(('Vòng loại'!$D$6:$D$23=$B8)*'Vòng loại'!$I$6:$I$23)</f>
        <v>0</v>
      </c>
      <c r="G8" s="36" t="n">
        <f aca="false">SUMPRODUCT(('Vòng loại'!$C$6:$C$23=$B8)*'Vòng loại'!$I$6:$I$23)+SUMPRODUCT(('Vòng loại'!$D$6:$D$23=$B8)*'Vòng loại'!$H$6:$H$23)</f>
        <v>0</v>
      </c>
      <c r="H8" s="36" t="n">
        <f aca="false">$F8-$G8</f>
        <v>0</v>
      </c>
      <c r="I8" s="38" t="n">
        <v>0</v>
      </c>
      <c r="J8" s="39" t="n">
        <f aca="false">$F8*1000000+$D8*10000+($H8+500)+$I8</f>
        <v>500</v>
      </c>
      <c r="K8" s="22" t="str">
        <f aca="false">IF($A8="","",IF($A8&lt;=2,"Tranh hạng Nhất – Nhì","Tranh hạng Ba – Khuyến khích"))</f>
        <v/>
      </c>
    </row>
    <row r="10" customFormat="false" ht="39.75" hidden="false" customHeight="true" outlineLevel="0" collapsed="false">
      <c r="A10" s="40" t="s">
        <v>133</v>
      </c>
      <c r="B10" s="40"/>
      <c r="C10" s="40"/>
      <c r="D10" s="40"/>
      <c r="E10" s="40"/>
      <c r="F10" s="40"/>
      <c r="G10" s="40"/>
      <c r="H10" s="40"/>
      <c r="I10" s="40"/>
      <c r="J10" s="40"/>
      <c r="K10" s="40"/>
    </row>
  </sheetData>
  <mergeCells count="3">
    <mergeCell ref="A1:K1"/>
    <mergeCell ref="A2:K2"/>
    <mergeCell ref="A10:K10"/>
  </mergeCells>
  <conditionalFormatting sqref="A5:K8">
    <cfRule type="expression" priority="2" aboveAverage="0" equalAverage="0" bottom="0" percent="0" rank="0" text="" dxfId="2">
      <formula>$A5&lt;=2</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392B"/>
    <pageSetUpPr fitToPage="false"/>
  </sheetPr>
  <dimension ref="A1:G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3" min="2" style="0" width="26"/>
    <col collapsed="false" customWidth="true" hidden="false" outlineLevel="0" max="5" min="4" style="0" width="9"/>
    <col collapsed="false" customWidth="true" hidden="false" outlineLevel="0" max="6" min="6" style="0" width="18"/>
    <col collapsed="false" customWidth="true" hidden="false" outlineLevel="0" max="7" min="7" style="0" width="14"/>
  </cols>
  <sheetData>
    <row r="1" customFormat="false" ht="30" hidden="false" customHeight="true" outlineLevel="0" collapsed="false">
      <c r="A1" s="1" t="s">
        <v>134</v>
      </c>
      <c r="B1" s="1"/>
      <c r="C1" s="1"/>
      <c r="D1" s="1"/>
      <c r="E1" s="1"/>
      <c r="F1" s="1"/>
      <c r="G1" s="1"/>
    </row>
    <row r="2" customFormat="false" ht="16.5" hidden="false" customHeight="true" outlineLevel="0" collapsed="false">
      <c r="A2" s="2" t="s">
        <v>135</v>
      </c>
      <c r="B2" s="2"/>
      <c r="C2" s="2"/>
      <c r="D2" s="2"/>
      <c r="E2" s="2"/>
      <c r="F2" s="2"/>
      <c r="G2" s="2"/>
    </row>
    <row r="4" customFormat="false" ht="21.75" hidden="false" customHeight="true" outlineLevel="0" collapsed="false">
      <c r="A4" s="3" t="s">
        <v>136</v>
      </c>
      <c r="B4" s="3"/>
      <c r="C4" s="3"/>
      <c r="D4" s="3"/>
      <c r="E4" s="3"/>
      <c r="F4" s="3"/>
      <c r="G4" s="3"/>
    </row>
    <row r="5" customFormat="false" ht="15" hidden="false" customHeight="false" outlineLevel="0" collapsed="false">
      <c r="A5" s="41" t="s">
        <v>137</v>
      </c>
      <c r="B5" s="42" t="str">
        <f aca="false">IFERROR(INDEX(BXH!$B$5:$B$8,MATCH(1,BXH!$A$5:$A$8,0)),"— chưa có kết quả")</f>
        <v>Đội Đỏ</v>
      </c>
      <c r="C5" s="42"/>
      <c r="D5" s="41" t="s">
        <v>138</v>
      </c>
      <c r="E5" s="42" t="str">
        <f aca="false">IFERROR(INDEX(BXH!$B$5:$B$8,MATCH(2,BXH!$A$5:$A$8,0)),"— chưa có kết quả")</f>
        <v>Đội Xanh</v>
      </c>
      <c r="F5" s="42"/>
    </row>
    <row r="6" customFormat="false" ht="30" hidden="false" customHeight="true" outlineLevel="0" collapsed="false">
      <c r="A6" s="11" t="s">
        <v>98</v>
      </c>
      <c r="B6" s="11" t="s">
        <v>139</v>
      </c>
      <c r="C6" s="11" t="s">
        <v>140</v>
      </c>
      <c r="D6" s="11" t="s">
        <v>117</v>
      </c>
      <c r="E6" s="11" t="s">
        <v>118</v>
      </c>
      <c r="F6" s="11" t="s">
        <v>119</v>
      </c>
      <c r="G6" s="11" t="s">
        <v>120</v>
      </c>
    </row>
    <row r="7" customFormat="false" ht="15" hidden="false" customHeight="false" outlineLevel="0" collapsed="false">
      <c r="A7" s="22" t="s">
        <v>103</v>
      </c>
      <c r="B7" s="31" t="str">
        <f aca="false">IFERROR(INDEX('Đội hình'!$E$29:$E$40,MATCH($B$5&amp;"|"&amp;$A7,'Đội hình'!$F$29:$F$40,0))&amp;"","")</f>
        <v/>
      </c>
      <c r="C7" s="31" t="str">
        <f aca="false">IFERROR(INDEX('Đội hình'!$E$29:$E$40,MATCH($E$5&amp;"|"&amp;$A7,'Đội hình'!$F$29:$F$40,0))&amp;"","")</f>
        <v/>
      </c>
      <c r="D7" s="32"/>
      <c r="E7" s="32"/>
      <c r="F7" s="33" t="str">
        <f aca="false">IF(OR($D7="",$E7=""),"",IF($D7&gt;$E7,$B$5,IF($E7&gt;$D7,$E$5,"⚠ hoà")))</f>
        <v/>
      </c>
      <c r="G7" s="34" t="str">
        <f aca="false">IF(OR($D7="",$E7=""),"",IF(OR(AND(MAX($D7,$E7)=21,MIN($D7,$E7)&lt;=19),AND(MAX($D7,$E7)&gt;=22,MAX($D7,$E7)&lt;=24,MAX($D7,$E7)-MIN($D7,$E7)=2),AND(MAX($D7,$E7)=25,MIN($D7,$E7)=24)),"✓","⚠ sai luật"))</f>
        <v/>
      </c>
    </row>
    <row r="8" customFormat="false" ht="15" hidden="false" customHeight="false" outlineLevel="0" collapsed="false">
      <c r="A8" s="22" t="s">
        <v>104</v>
      </c>
      <c r="B8" s="31" t="str">
        <f aca="false">IFERROR(INDEX('Đội hình'!$E$29:$E$40,MATCH($B$5&amp;"|"&amp;$A8,'Đội hình'!$F$29:$F$40,0))&amp;"","")</f>
        <v/>
      </c>
      <c r="C8" s="31" t="str">
        <f aca="false">IFERROR(INDEX('Đội hình'!$E$29:$E$40,MATCH($E$5&amp;"|"&amp;$A8,'Đội hình'!$F$29:$F$40,0))&amp;"","")</f>
        <v/>
      </c>
      <c r="D8" s="32"/>
      <c r="E8" s="32"/>
      <c r="F8" s="33" t="str">
        <f aca="false">IF(OR($D8="",$E8=""),"",IF($D8&gt;$E8,$B$5,IF($E8&gt;$D8,$E$5,"⚠ hoà")))</f>
        <v/>
      </c>
      <c r="G8" s="34" t="str">
        <f aca="false">IF(OR($D8="",$E8=""),"",IF(OR(AND(MAX($D8,$E8)=21,MIN($D8,$E8)&lt;=19),AND(MAX($D8,$E8)&gt;=22,MAX($D8,$E8)&lt;=24,MAX($D8,$E8)-MIN($D8,$E8)=2),AND(MAX($D8,$E8)=25,MIN($D8,$E8)=24)),"✓","⚠ sai luật"))</f>
        <v/>
      </c>
    </row>
    <row r="9" customFormat="false" ht="15" hidden="false" customHeight="false" outlineLevel="0" collapsed="false">
      <c r="A9" s="22" t="s">
        <v>105</v>
      </c>
      <c r="B9" s="31" t="str">
        <f aca="false">IFERROR(INDEX('Đội hình'!$E$29:$E$40,MATCH($B$5&amp;"|"&amp;$A9,'Đội hình'!$F$29:$F$40,0))&amp;"","")</f>
        <v/>
      </c>
      <c r="C9" s="31" t="str">
        <f aca="false">IFERROR(INDEX('Đội hình'!$E$29:$E$40,MATCH($E$5&amp;"|"&amp;$A9,'Đội hình'!$F$29:$F$40,0))&amp;"","")</f>
        <v/>
      </c>
      <c r="D9" s="32"/>
      <c r="E9" s="32"/>
      <c r="F9" s="33" t="str">
        <f aca="false">IF(OR($D9="",$E9=""),"",IF($D9&gt;$E9,$B$5,IF($E9&gt;$D9,$E$5,"⚠ hoà")))</f>
        <v/>
      </c>
      <c r="G9" s="34" t="str">
        <f aca="false">IF(OR($D9="",$E9=""),"",IF(OR(AND(MAX($D9,$E9)=21,MIN($D9,$E9)&lt;=19),AND(MAX($D9,$E9)&gt;=22,MAX($D9,$E9)&lt;=24,MAX($D9,$E9)-MIN($D9,$E9)=2),AND(MAX($D9,$E9)=25,MIN($D9,$E9)=24)),"✓","⚠ sai luật"))</f>
        <v/>
      </c>
    </row>
    <row r="10" customFormat="false" ht="21.75" hidden="false" customHeight="true" outlineLevel="0" collapsed="false">
      <c r="A10" s="43" t="s">
        <v>141</v>
      </c>
      <c r="B10" s="44" t="str">
        <f aca="false">IF(COUNTIF($F$7:$F$9,$B$5)&gt;=2,$B$5,IF(COUNTIF($F$7:$F$9,$E$5)&gt;=2,$E$5,"— chưa đủ 2/3 nội dung"))</f>
        <v>— chưa đủ 2/3 nội dung</v>
      </c>
      <c r="C10" s="44"/>
    </row>
    <row r="11" customFormat="false" ht="21.75" hidden="false" customHeight="true" outlineLevel="0" collapsed="false">
      <c r="A11" s="43" t="s">
        <v>142</v>
      </c>
      <c r="B11" s="44" t="str">
        <f aca="false">IF(COUNTIF($F$7:$F$9,$B$5)&gt;=2,$E$5,IF(COUNTIF($F$7:$F$9,$E$5)&gt;=2,$B$5,"— chưa đủ 2/3 nội dung"))</f>
        <v>— chưa đủ 2/3 nội dung</v>
      </c>
      <c r="C11" s="44"/>
    </row>
    <row r="13" customFormat="false" ht="21.75" hidden="false" customHeight="true" outlineLevel="0" collapsed="false">
      <c r="A13" s="3" t="s">
        <v>143</v>
      </c>
      <c r="B13" s="3"/>
      <c r="C13" s="3"/>
      <c r="D13" s="3"/>
      <c r="E13" s="3"/>
      <c r="F13" s="3"/>
      <c r="G13" s="3"/>
    </row>
    <row r="14" customFormat="false" ht="15" hidden="false" customHeight="false" outlineLevel="0" collapsed="false">
      <c r="A14" s="41" t="s">
        <v>144</v>
      </c>
      <c r="B14" s="42" t="str">
        <f aca="false">IFERROR(INDEX(BXH!$B$5:$B$8,MATCH(3,BXH!$A$5:$A$8,0)),"— chưa có kết quả")</f>
        <v>— chưa có kết quả</v>
      </c>
      <c r="C14" s="42"/>
      <c r="D14" s="41" t="s">
        <v>145</v>
      </c>
      <c r="E14" s="42" t="str">
        <f aca="false">IFERROR(INDEX(BXH!$B$5:$B$8,MATCH(4,BXH!$A$5:$A$8,0)),"— chưa có kết quả")</f>
        <v>— chưa có kết quả</v>
      </c>
      <c r="F14" s="42"/>
    </row>
    <row r="15" customFormat="false" ht="30" hidden="false" customHeight="true" outlineLevel="0" collapsed="false">
      <c r="A15" s="11" t="s">
        <v>98</v>
      </c>
      <c r="B15" s="11" t="s">
        <v>139</v>
      </c>
      <c r="C15" s="11" t="s">
        <v>140</v>
      </c>
      <c r="D15" s="11" t="s">
        <v>117</v>
      </c>
      <c r="E15" s="11" t="s">
        <v>118</v>
      </c>
      <c r="F15" s="11" t="s">
        <v>119</v>
      </c>
      <c r="G15" s="11" t="s">
        <v>120</v>
      </c>
    </row>
    <row r="16" customFormat="false" ht="15" hidden="false" customHeight="false" outlineLevel="0" collapsed="false">
      <c r="A16" s="22" t="s">
        <v>103</v>
      </c>
      <c r="B16" s="31" t="str">
        <f aca="false">IFERROR(INDEX('Đội hình'!$E$29:$E$40,MATCH($B$14&amp;"|"&amp;$A16,'Đội hình'!$F$29:$F$40,0))&amp;"","")</f>
        <v/>
      </c>
      <c r="C16" s="31" t="str">
        <f aca="false">IFERROR(INDEX('Đội hình'!$E$29:$E$40,MATCH($E$14&amp;"|"&amp;$A16,'Đội hình'!$F$29:$F$40,0))&amp;"","")</f>
        <v/>
      </c>
      <c r="D16" s="32"/>
      <c r="E16" s="32"/>
      <c r="F16" s="33" t="str">
        <f aca="false">IF(OR($D16="",$E16=""),"",IF($D16&gt;$E16,$B$14,IF($E16&gt;$D16,$E$14,"⚠ hoà")))</f>
        <v/>
      </c>
      <c r="G16" s="34" t="str">
        <f aca="false">IF(OR($D16="",$E16=""),"",IF(OR(AND(MAX($D16,$E16)=21,MIN($D16,$E16)&lt;=19),AND(MAX($D16,$E16)&gt;=22,MAX($D16,$E16)&lt;=24,MAX($D16,$E16)-MIN($D16,$E16)=2),AND(MAX($D16,$E16)=25,MIN($D16,$E16)=24)),"✓","⚠ sai luật"))</f>
        <v/>
      </c>
    </row>
    <row r="17" customFormat="false" ht="15" hidden="false" customHeight="false" outlineLevel="0" collapsed="false">
      <c r="A17" s="22" t="s">
        <v>104</v>
      </c>
      <c r="B17" s="31" t="str">
        <f aca="false">IFERROR(INDEX('Đội hình'!$E$29:$E$40,MATCH($B$14&amp;"|"&amp;$A17,'Đội hình'!$F$29:$F$40,0))&amp;"","")</f>
        <v/>
      </c>
      <c r="C17" s="31" t="str">
        <f aca="false">IFERROR(INDEX('Đội hình'!$E$29:$E$40,MATCH($E$14&amp;"|"&amp;$A17,'Đội hình'!$F$29:$F$40,0))&amp;"","")</f>
        <v/>
      </c>
      <c r="D17" s="32"/>
      <c r="E17" s="32"/>
      <c r="F17" s="33" t="str">
        <f aca="false">IF(OR($D17="",$E17=""),"",IF($D17&gt;$E17,$B$14,IF($E17&gt;$D17,$E$14,"⚠ hoà")))</f>
        <v/>
      </c>
      <c r="G17" s="34" t="str">
        <f aca="false">IF(OR($D17="",$E17=""),"",IF(OR(AND(MAX($D17,$E17)=21,MIN($D17,$E17)&lt;=19),AND(MAX($D17,$E17)&gt;=22,MAX($D17,$E17)&lt;=24,MAX($D17,$E17)-MIN($D17,$E17)=2),AND(MAX($D17,$E17)=25,MIN($D17,$E17)=24)),"✓","⚠ sai luật"))</f>
        <v/>
      </c>
    </row>
    <row r="18" customFormat="false" ht="15" hidden="false" customHeight="false" outlineLevel="0" collapsed="false">
      <c r="A18" s="22" t="s">
        <v>105</v>
      </c>
      <c r="B18" s="31" t="str">
        <f aca="false">IFERROR(INDEX('Đội hình'!$E$29:$E$40,MATCH($B$14&amp;"|"&amp;$A18,'Đội hình'!$F$29:$F$40,0))&amp;"","")</f>
        <v/>
      </c>
      <c r="C18" s="31" t="str">
        <f aca="false">IFERROR(INDEX('Đội hình'!$E$29:$E$40,MATCH($E$14&amp;"|"&amp;$A18,'Đội hình'!$F$29:$F$40,0))&amp;"","")</f>
        <v/>
      </c>
      <c r="D18" s="32"/>
      <c r="E18" s="32"/>
      <c r="F18" s="33" t="str">
        <f aca="false">IF(OR($D18="",$E18=""),"",IF($D18&gt;$E18,$B$14,IF($E18&gt;$D18,$E$14,"⚠ hoà")))</f>
        <v/>
      </c>
      <c r="G18" s="34" t="str">
        <f aca="false">IF(OR($D18="",$E18=""),"",IF(OR(AND(MAX($D18,$E18)=21,MIN($D18,$E18)&lt;=19),AND(MAX($D18,$E18)&gt;=22,MAX($D18,$E18)&lt;=24,MAX($D18,$E18)-MIN($D18,$E18)=2),AND(MAX($D18,$E18)=25,MIN($D18,$E18)=24)),"✓","⚠ sai luật"))</f>
        <v/>
      </c>
    </row>
    <row r="19" customFormat="false" ht="21.75" hidden="false" customHeight="true" outlineLevel="0" collapsed="false">
      <c r="A19" s="43" t="s">
        <v>146</v>
      </c>
      <c r="B19" s="44" t="str">
        <f aca="false">IF(COUNTIF($F$16:$F$18,$B$14)&gt;=2,$B$14,IF(COUNTIF($F$16:$F$18,$E$14)&gt;=2,$E$14,"— chưa đủ 2/3 nội dung"))</f>
        <v>— chưa đủ 2/3 nội dung</v>
      </c>
      <c r="C19" s="44"/>
    </row>
    <row r="20" customFormat="false" ht="21.75" hidden="false" customHeight="true" outlineLevel="0" collapsed="false">
      <c r="A20" s="43" t="s">
        <v>147</v>
      </c>
      <c r="B20" s="44" t="str">
        <f aca="false">IF(COUNTIF($F$16:$F$18,$B$14)&gt;=2,$E$14,IF(COUNTIF($F$16:$F$18,$E$14)&gt;=2,$B$14,"— chưa đủ 2/3 nội dung"))</f>
        <v>— chưa đủ 2/3 nội dung</v>
      </c>
      <c r="C20" s="44"/>
    </row>
    <row r="22" customFormat="false" ht="39.75" hidden="false" customHeight="true" outlineLevel="0" collapsed="false">
      <c r="A22" s="40" t="s">
        <v>148</v>
      </c>
      <c r="B22" s="40"/>
      <c r="C22" s="40"/>
      <c r="D22" s="40"/>
      <c r="E22" s="40"/>
      <c r="F22" s="40"/>
      <c r="G22" s="40"/>
    </row>
  </sheetData>
  <mergeCells count="13">
    <mergeCell ref="A1:G1"/>
    <mergeCell ref="A2:G2"/>
    <mergeCell ref="A4:G4"/>
    <mergeCell ref="B5:C5"/>
    <mergeCell ref="E5:F5"/>
    <mergeCell ref="B10:C10"/>
    <mergeCell ref="B11:C11"/>
    <mergeCell ref="A13:G13"/>
    <mergeCell ref="B14:C14"/>
    <mergeCell ref="E14:F14"/>
    <mergeCell ref="B19:C19"/>
    <mergeCell ref="B20:C20"/>
    <mergeCell ref="A22:G22"/>
  </mergeCells>
  <conditionalFormatting sqref="G7:G9">
    <cfRule type="cellIs" priority="2" operator="equal" aboveAverage="0" equalAverage="0" bottom="0" percent="0" rank="0" text="" dxfId="1">
      <formula>"⚠ sai luật"</formula>
    </cfRule>
  </conditionalFormatting>
  <conditionalFormatting sqref="G16:G18">
    <cfRule type="cellIs" priority="3" operator="equal" aboveAverage="0" equalAverage="0" bottom="0" percent="0" rank="0" text="" dxfId="1">
      <formula>"⚠ sai luật"</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2"/>
    <col collapsed="false" customWidth="true" hidden="false" outlineLevel="0" max="3" min="3" style="0" width="13"/>
    <col collapsed="false" customWidth="true" hidden="false" outlineLevel="0" max="5" min="4" style="0" width="14"/>
    <col collapsed="false" customWidth="true" hidden="false" outlineLevel="0" max="6" min="6" style="0" width="8"/>
    <col collapsed="false" customWidth="true" hidden="false" outlineLevel="0" max="7" min="7" style="0" width="12"/>
    <col collapsed="false" customWidth="true" hidden="false" outlineLevel="0" max="11" min="8" style="0" width="18"/>
    <col collapsed="false" customWidth="true" hidden="false" outlineLevel="0" max="15" min="12" style="0" width="6"/>
    <col collapsed="false" customWidth="true" hidden="false" outlineLevel="0" max="16" min="16" style="0" width="24"/>
  </cols>
  <sheetData>
    <row r="1" customFormat="false" ht="30" hidden="false" customHeight="true" outlineLevel="0" collapsed="false">
      <c r="A1" s="1" t="s">
        <v>149</v>
      </c>
      <c r="B1" s="1"/>
      <c r="C1" s="1"/>
      <c r="D1" s="1"/>
      <c r="E1" s="1"/>
      <c r="F1" s="1"/>
      <c r="G1" s="1"/>
      <c r="H1" s="1"/>
      <c r="I1" s="1"/>
      <c r="J1" s="1"/>
      <c r="K1" s="1"/>
      <c r="L1" s="1"/>
      <c r="M1" s="1"/>
      <c r="N1" s="1"/>
      <c r="O1" s="1"/>
      <c r="P1" s="1"/>
    </row>
    <row r="2" customFormat="false" ht="16.5" hidden="false" customHeight="true" outlineLevel="0" collapsed="false">
      <c r="A2" s="2" t="s">
        <v>150</v>
      </c>
      <c r="B2" s="2"/>
      <c r="C2" s="2"/>
      <c r="D2" s="2"/>
      <c r="E2" s="2"/>
      <c r="F2" s="2"/>
      <c r="G2" s="2"/>
      <c r="H2" s="2"/>
      <c r="I2" s="2"/>
      <c r="J2" s="2"/>
      <c r="K2" s="2"/>
      <c r="L2" s="2"/>
      <c r="M2" s="2"/>
      <c r="N2" s="2"/>
      <c r="O2" s="2"/>
      <c r="P2" s="2"/>
    </row>
    <row r="5" customFormat="false" ht="30" hidden="false" customHeight="true" outlineLevel="0" collapsed="false">
      <c r="A5" s="11" t="s">
        <v>111</v>
      </c>
      <c r="B5" s="11" t="s">
        <v>151</v>
      </c>
      <c r="C5" s="11" t="s">
        <v>98</v>
      </c>
      <c r="D5" s="11" t="s">
        <v>113</v>
      </c>
      <c r="E5" s="11" t="s">
        <v>114</v>
      </c>
      <c r="F5" s="11" t="s">
        <v>152</v>
      </c>
      <c r="G5" s="11" t="s">
        <v>153</v>
      </c>
      <c r="H5" s="11" t="s">
        <v>154</v>
      </c>
      <c r="I5" s="11" t="s">
        <v>155</v>
      </c>
      <c r="J5" s="11" t="s">
        <v>156</v>
      </c>
      <c r="K5" s="11" t="s">
        <v>157</v>
      </c>
      <c r="L5" s="11" t="s">
        <v>158</v>
      </c>
      <c r="M5" s="11" t="s">
        <v>159</v>
      </c>
      <c r="N5" s="11" t="s">
        <v>160</v>
      </c>
      <c r="O5" s="11" t="s">
        <v>161</v>
      </c>
      <c r="P5" s="11" t="s">
        <v>162</v>
      </c>
    </row>
    <row r="6" customFormat="false" ht="15" hidden="false" customHeight="false" outlineLevel="0" collapsed="false">
      <c r="A6" s="12" t="n">
        <f aca="false">'Vòng loại'!$A6</f>
        <v>1</v>
      </c>
      <c r="B6" s="45" t="str">
        <f aca="false">"Loại · lượt "&amp;'Vòng loại'!$B6</f>
        <v>Loại · lượt 1</v>
      </c>
      <c r="C6" s="46" t="str">
        <f aca="false">'Vòng loại'!$E6</f>
        <v>Đôi nam</v>
      </c>
      <c r="D6" s="46" t="str">
        <f aca="false">'Vòng loại'!$C6</f>
        <v>Đội Đỏ</v>
      </c>
      <c r="E6" s="46" t="str">
        <f aca="false">'Vòng loại'!$D6</f>
        <v>Đội Xanh</v>
      </c>
      <c r="F6" s="47"/>
      <c r="G6" s="47"/>
      <c r="H6" s="48" t="str">
        <f aca="false">IFERROR(INDEX('Đội hình'!$C$13:$C$24,MATCH($D6&amp;"|"&amp;$C6,'Đội hình'!$F$13:$F$24,0))&amp;"","")</f>
        <v/>
      </c>
      <c r="I6" s="48" t="str">
        <f aca="false">IFERROR(INDEX('Đội hình'!$D$13:$D$24,MATCH($D6&amp;"|"&amp;$C6,'Đội hình'!$F$13:$F$24,0))&amp;"","")</f>
        <v/>
      </c>
      <c r="J6" s="48" t="str">
        <f aca="false">IFERROR(INDEX('Đội hình'!$C$13:$C$24,MATCH($E6&amp;"|"&amp;$C6,'Đội hình'!$F$13:$F$24,0))&amp;"","")</f>
        <v/>
      </c>
      <c r="K6" s="48" t="str">
        <f aca="false">IFERROR(INDEX('Đội hình'!$D$13:$D$24,MATCH($E6&amp;"|"&amp;$C6,'Đội hình'!$F$13:$F$24,0))&amp;"","")</f>
        <v/>
      </c>
      <c r="L6" s="49" t="n">
        <f aca="false">IF(OR($H6="",$G6=""),0,SUMPRODUCT(($G$6:$G$29=$G6)*(($H$6:$H$29=$H6)+($I$6:$I$29=$H6)+($J$6:$J$29=$H6)+($K$6:$K$29=$H6))))</f>
        <v>0</v>
      </c>
      <c r="M6" s="49" t="n">
        <f aca="false">IF(OR($I6="",$G6=""),0,SUMPRODUCT(($G$6:$G$29=$G6)*(($H$6:$H$29=$I6)+($I$6:$I$29=$I6)+($J$6:$J$29=$I6)+($K$6:$K$29=$I6))))</f>
        <v>0</v>
      </c>
      <c r="N6" s="49" t="n">
        <f aca="false">IF(OR($J6="",$G6=""),0,SUMPRODUCT(($G$6:$G$29=$G6)*(($H$6:$H$29=$J6)+($I$6:$I$29=$J6)+($J$6:$J$29=$J6)+($K$6:$K$29=$J6))))</f>
        <v>0</v>
      </c>
      <c r="O6" s="49" t="n">
        <f aca="false">IF(OR($K6="",$G6=""),0,SUMPRODUCT(($G$6:$G$29=$G6)*(($H$6:$H$29=$K6)+($I$6:$I$29=$K6)+($J$6:$J$29=$K6)+($K$6:$K$29=$K6))))</f>
        <v>0</v>
      </c>
      <c r="P6" s="50" t="str">
        <f aca="false">IF(OR($F6="",$G6=""),"",IF(SUMPRODUCT(($F$6:$F$29=$F6)*($G$6:$G$29=$G6))&gt;1,"⚠ Trùng sân  ","")&amp;IF(MAX($L6:$O6)&gt;1,"⚠ Trùng người",""))</f>
        <v/>
      </c>
    </row>
    <row r="7" customFormat="false" ht="15" hidden="false" customHeight="false" outlineLevel="0" collapsed="false">
      <c r="A7" s="12" t="n">
        <f aca="false">'Vòng loại'!$A7</f>
        <v>2</v>
      </c>
      <c r="B7" s="45" t="str">
        <f aca="false">"Loại · lượt "&amp;'Vòng loại'!$B7</f>
        <v>Loại · lượt 1</v>
      </c>
      <c r="C7" s="46" t="str">
        <f aca="false">'Vòng loại'!$E7</f>
        <v>Đôi nữ</v>
      </c>
      <c r="D7" s="46" t="str">
        <f aca="false">'Vòng loại'!$C7</f>
        <v>Đội Đỏ</v>
      </c>
      <c r="E7" s="46" t="str">
        <f aca="false">'Vòng loại'!$D7</f>
        <v>Đội Xanh</v>
      </c>
      <c r="F7" s="47"/>
      <c r="G7" s="47"/>
      <c r="H7" s="48" t="str">
        <f aca="false">IFERROR(INDEX('Đội hình'!$C$13:$C$24,MATCH($D7&amp;"|"&amp;$C7,'Đội hình'!$F$13:$F$24,0))&amp;"","")</f>
        <v/>
      </c>
      <c r="I7" s="48" t="str">
        <f aca="false">IFERROR(INDEX('Đội hình'!$D$13:$D$24,MATCH($D7&amp;"|"&amp;$C7,'Đội hình'!$F$13:$F$24,0))&amp;"","")</f>
        <v/>
      </c>
      <c r="J7" s="48" t="str">
        <f aca="false">IFERROR(INDEX('Đội hình'!$C$13:$C$24,MATCH($E7&amp;"|"&amp;$C7,'Đội hình'!$F$13:$F$24,0))&amp;"","")</f>
        <v/>
      </c>
      <c r="K7" s="48" t="str">
        <f aca="false">IFERROR(INDEX('Đội hình'!$D$13:$D$24,MATCH($E7&amp;"|"&amp;$C7,'Đội hình'!$F$13:$F$24,0))&amp;"","")</f>
        <v/>
      </c>
      <c r="L7" s="49" t="n">
        <f aca="false">IF(OR($H7="",$G7=""),0,SUMPRODUCT(($G$6:$G$29=$G7)*(($H$6:$H$29=$H7)+($I$6:$I$29=$H7)+($J$6:$J$29=$H7)+($K$6:$K$29=$H7))))</f>
        <v>0</v>
      </c>
      <c r="M7" s="49" t="n">
        <f aca="false">IF(OR($I7="",$G7=""),0,SUMPRODUCT(($G$6:$G$29=$G7)*(($H$6:$H$29=$I7)+($I$6:$I$29=$I7)+($J$6:$J$29=$I7)+($K$6:$K$29=$I7))))</f>
        <v>0</v>
      </c>
      <c r="N7" s="49" t="n">
        <f aca="false">IF(OR($J7="",$G7=""),0,SUMPRODUCT(($G$6:$G$29=$G7)*(($H$6:$H$29=$J7)+($I$6:$I$29=$J7)+($J$6:$J$29=$J7)+($K$6:$K$29=$J7))))</f>
        <v>0</v>
      </c>
      <c r="O7" s="49" t="n">
        <f aca="false">IF(OR($K7="",$G7=""),0,SUMPRODUCT(($G$6:$G$29=$G7)*(($H$6:$H$29=$K7)+($I$6:$I$29=$K7)+($J$6:$J$29=$K7)+($K$6:$K$29=$K7))))</f>
        <v>0</v>
      </c>
      <c r="P7" s="50" t="str">
        <f aca="false">IF(OR($F7="",$G7=""),"",IF(SUMPRODUCT(($F$6:$F$29=$F7)*($G$6:$G$29=$G7))&gt;1,"⚠ Trùng sân  ","")&amp;IF(MAX($L7:$O7)&gt;1,"⚠ Trùng người",""))</f>
        <v/>
      </c>
    </row>
    <row r="8" customFormat="false" ht="15" hidden="false" customHeight="false" outlineLevel="0" collapsed="false">
      <c r="A8" s="12" t="n">
        <f aca="false">'Vòng loại'!$A8</f>
        <v>3</v>
      </c>
      <c r="B8" s="45" t="str">
        <f aca="false">"Loại · lượt "&amp;'Vòng loại'!$B8</f>
        <v>Loại · lượt 1</v>
      </c>
      <c r="C8" s="46" t="str">
        <f aca="false">'Vòng loại'!$E8</f>
        <v>Đôi nam nữ</v>
      </c>
      <c r="D8" s="46" t="str">
        <f aca="false">'Vòng loại'!$C8</f>
        <v>Đội Đỏ</v>
      </c>
      <c r="E8" s="46" t="str">
        <f aca="false">'Vòng loại'!$D8</f>
        <v>Đội Xanh</v>
      </c>
      <c r="F8" s="47"/>
      <c r="G8" s="47"/>
      <c r="H8" s="48" t="str">
        <f aca="false">IFERROR(INDEX('Đội hình'!$C$13:$C$24,MATCH($D8&amp;"|"&amp;$C8,'Đội hình'!$F$13:$F$24,0))&amp;"","")</f>
        <v/>
      </c>
      <c r="I8" s="48" t="str">
        <f aca="false">IFERROR(INDEX('Đội hình'!$D$13:$D$24,MATCH($D8&amp;"|"&amp;$C8,'Đội hình'!$F$13:$F$24,0))&amp;"","")</f>
        <v/>
      </c>
      <c r="J8" s="48" t="str">
        <f aca="false">IFERROR(INDEX('Đội hình'!$C$13:$C$24,MATCH($E8&amp;"|"&amp;$C8,'Đội hình'!$F$13:$F$24,0))&amp;"","")</f>
        <v/>
      </c>
      <c r="K8" s="48" t="str">
        <f aca="false">IFERROR(INDEX('Đội hình'!$D$13:$D$24,MATCH($E8&amp;"|"&amp;$C8,'Đội hình'!$F$13:$F$24,0))&amp;"","")</f>
        <v/>
      </c>
      <c r="L8" s="49" t="n">
        <f aca="false">IF(OR($H8="",$G8=""),0,SUMPRODUCT(($G$6:$G$29=$G8)*(($H$6:$H$29=$H8)+($I$6:$I$29=$H8)+($J$6:$J$29=$H8)+($K$6:$K$29=$H8))))</f>
        <v>0</v>
      </c>
      <c r="M8" s="49" t="n">
        <f aca="false">IF(OR($I8="",$G8=""),0,SUMPRODUCT(($G$6:$G$29=$G8)*(($H$6:$H$29=$I8)+($I$6:$I$29=$I8)+($J$6:$J$29=$I8)+($K$6:$K$29=$I8))))</f>
        <v>0</v>
      </c>
      <c r="N8" s="49" t="n">
        <f aca="false">IF(OR($J8="",$G8=""),0,SUMPRODUCT(($G$6:$G$29=$G8)*(($H$6:$H$29=$J8)+($I$6:$I$29=$J8)+($J$6:$J$29=$J8)+($K$6:$K$29=$J8))))</f>
        <v>0</v>
      </c>
      <c r="O8" s="49" t="n">
        <f aca="false">IF(OR($K8="",$G8=""),0,SUMPRODUCT(($G$6:$G$29=$G8)*(($H$6:$H$29=$K8)+($I$6:$I$29=$K8)+($J$6:$J$29=$K8)+($K$6:$K$29=$K8))))</f>
        <v>0</v>
      </c>
      <c r="P8" s="50" t="str">
        <f aca="false">IF(OR($F8="",$G8=""),"",IF(SUMPRODUCT(($F$6:$F$29=$F8)*($G$6:$G$29=$G8))&gt;1,"⚠ Trùng sân  ","")&amp;IF(MAX($L8:$O8)&gt;1,"⚠ Trùng người",""))</f>
        <v/>
      </c>
    </row>
    <row r="9" customFormat="false" ht="15" hidden="false" customHeight="false" outlineLevel="0" collapsed="false">
      <c r="A9" s="12" t="n">
        <f aca="false">'Vòng loại'!$A9</f>
        <v>4</v>
      </c>
      <c r="B9" s="45" t="str">
        <f aca="false">"Loại · lượt "&amp;'Vòng loại'!$B9</f>
        <v>Loại · lượt 2</v>
      </c>
      <c r="C9" s="46" t="str">
        <f aca="false">'Vòng loại'!$E9</f>
        <v>Đôi nam</v>
      </c>
      <c r="D9" s="46" t="str">
        <f aca="false">'Vòng loại'!$C9</f>
        <v>Đội Vàng</v>
      </c>
      <c r="E9" s="46" t="str">
        <f aca="false">'Vòng loại'!$D9</f>
        <v>Đội Trắng</v>
      </c>
      <c r="F9" s="47"/>
      <c r="G9" s="47"/>
      <c r="H9" s="48" t="str">
        <f aca="false">IFERROR(INDEX('Đội hình'!$C$13:$C$24,MATCH($D9&amp;"|"&amp;$C9,'Đội hình'!$F$13:$F$24,0))&amp;"","")</f>
        <v/>
      </c>
      <c r="I9" s="48" t="str">
        <f aca="false">IFERROR(INDEX('Đội hình'!$D$13:$D$24,MATCH($D9&amp;"|"&amp;$C9,'Đội hình'!$F$13:$F$24,0))&amp;"","")</f>
        <v/>
      </c>
      <c r="J9" s="48" t="str">
        <f aca="false">IFERROR(INDEX('Đội hình'!$C$13:$C$24,MATCH($E9&amp;"|"&amp;$C9,'Đội hình'!$F$13:$F$24,0))&amp;"","")</f>
        <v/>
      </c>
      <c r="K9" s="48" t="str">
        <f aca="false">IFERROR(INDEX('Đội hình'!$D$13:$D$24,MATCH($E9&amp;"|"&amp;$C9,'Đội hình'!$F$13:$F$24,0))&amp;"","")</f>
        <v/>
      </c>
      <c r="L9" s="49" t="n">
        <f aca="false">IF(OR($H9="",$G9=""),0,SUMPRODUCT(($G$6:$G$29=$G9)*(($H$6:$H$29=$H9)+($I$6:$I$29=$H9)+($J$6:$J$29=$H9)+($K$6:$K$29=$H9))))</f>
        <v>0</v>
      </c>
      <c r="M9" s="49" t="n">
        <f aca="false">IF(OR($I9="",$G9=""),0,SUMPRODUCT(($G$6:$G$29=$G9)*(($H$6:$H$29=$I9)+($I$6:$I$29=$I9)+($J$6:$J$29=$I9)+($K$6:$K$29=$I9))))</f>
        <v>0</v>
      </c>
      <c r="N9" s="49" t="n">
        <f aca="false">IF(OR($J9="",$G9=""),0,SUMPRODUCT(($G$6:$G$29=$G9)*(($H$6:$H$29=$J9)+($I$6:$I$29=$J9)+($J$6:$J$29=$J9)+($K$6:$K$29=$J9))))</f>
        <v>0</v>
      </c>
      <c r="O9" s="49" t="n">
        <f aca="false">IF(OR($K9="",$G9=""),0,SUMPRODUCT(($G$6:$G$29=$G9)*(($H$6:$H$29=$K9)+($I$6:$I$29=$K9)+($J$6:$J$29=$K9)+($K$6:$K$29=$K9))))</f>
        <v>0</v>
      </c>
      <c r="P9" s="50" t="str">
        <f aca="false">IF(OR($F9="",$G9=""),"",IF(SUMPRODUCT(($F$6:$F$29=$F9)*($G$6:$G$29=$G9))&gt;1,"⚠ Trùng sân  ","")&amp;IF(MAX($L9:$O9)&gt;1,"⚠ Trùng người",""))</f>
        <v/>
      </c>
    </row>
    <row r="10" customFormat="false" ht="15" hidden="false" customHeight="false" outlineLevel="0" collapsed="false">
      <c r="A10" s="12" t="n">
        <f aca="false">'Vòng loại'!$A10</f>
        <v>5</v>
      </c>
      <c r="B10" s="45" t="str">
        <f aca="false">"Loại · lượt "&amp;'Vòng loại'!$B10</f>
        <v>Loại · lượt 2</v>
      </c>
      <c r="C10" s="46" t="str">
        <f aca="false">'Vòng loại'!$E10</f>
        <v>Đôi nữ</v>
      </c>
      <c r="D10" s="46" t="str">
        <f aca="false">'Vòng loại'!$C10</f>
        <v>Đội Vàng</v>
      </c>
      <c r="E10" s="46" t="str">
        <f aca="false">'Vòng loại'!$D10</f>
        <v>Đội Trắng</v>
      </c>
      <c r="F10" s="47"/>
      <c r="G10" s="47"/>
      <c r="H10" s="48" t="str">
        <f aca="false">IFERROR(INDEX('Đội hình'!$C$13:$C$24,MATCH($D10&amp;"|"&amp;$C10,'Đội hình'!$F$13:$F$24,0))&amp;"","")</f>
        <v/>
      </c>
      <c r="I10" s="48" t="str">
        <f aca="false">IFERROR(INDEX('Đội hình'!$D$13:$D$24,MATCH($D10&amp;"|"&amp;$C10,'Đội hình'!$F$13:$F$24,0))&amp;"","")</f>
        <v/>
      </c>
      <c r="J10" s="48" t="str">
        <f aca="false">IFERROR(INDEX('Đội hình'!$C$13:$C$24,MATCH($E10&amp;"|"&amp;$C10,'Đội hình'!$F$13:$F$24,0))&amp;"","")</f>
        <v/>
      </c>
      <c r="K10" s="48" t="str">
        <f aca="false">IFERROR(INDEX('Đội hình'!$D$13:$D$24,MATCH($E10&amp;"|"&amp;$C10,'Đội hình'!$F$13:$F$24,0))&amp;"","")</f>
        <v/>
      </c>
      <c r="L10" s="49" t="n">
        <f aca="false">IF(OR($H10="",$G10=""),0,SUMPRODUCT(($G$6:$G$29=$G10)*(($H$6:$H$29=$H10)+($I$6:$I$29=$H10)+($J$6:$J$29=$H10)+($K$6:$K$29=$H10))))</f>
        <v>0</v>
      </c>
      <c r="M10" s="49" t="n">
        <f aca="false">IF(OR($I10="",$G10=""),0,SUMPRODUCT(($G$6:$G$29=$G10)*(($H$6:$H$29=$I10)+($I$6:$I$29=$I10)+($J$6:$J$29=$I10)+($K$6:$K$29=$I10))))</f>
        <v>0</v>
      </c>
      <c r="N10" s="49" t="n">
        <f aca="false">IF(OR($J10="",$G10=""),0,SUMPRODUCT(($G$6:$G$29=$G10)*(($H$6:$H$29=$J10)+($I$6:$I$29=$J10)+($J$6:$J$29=$J10)+($K$6:$K$29=$J10))))</f>
        <v>0</v>
      </c>
      <c r="O10" s="49" t="n">
        <f aca="false">IF(OR($K10="",$G10=""),0,SUMPRODUCT(($G$6:$G$29=$G10)*(($H$6:$H$29=$K10)+($I$6:$I$29=$K10)+($J$6:$J$29=$K10)+($K$6:$K$29=$K10))))</f>
        <v>0</v>
      </c>
      <c r="P10" s="50" t="str">
        <f aca="false">IF(OR($F10="",$G10=""),"",IF(SUMPRODUCT(($F$6:$F$29=$F10)*($G$6:$G$29=$G10))&gt;1,"⚠ Trùng sân  ","")&amp;IF(MAX($L10:$O10)&gt;1,"⚠ Trùng người",""))</f>
        <v/>
      </c>
    </row>
    <row r="11" customFormat="false" ht="15" hidden="false" customHeight="false" outlineLevel="0" collapsed="false">
      <c r="A11" s="12" t="n">
        <f aca="false">'Vòng loại'!$A11</f>
        <v>6</v>
      </c>
      <c r="B11" s="45" t="str">
        <f aca="false">"Loại · lượt "&amp;'Vòng loại'!$B11</f>
        <v>Loại · lượt 2</v>
      </c>
      <c r="C11" s="46" t="str">
        <f aca="false">'Vòng loại'!$E11</f>
        <v>Đôi nam nữ</v>
      </c>
      <c r="D11" s="46" t="str">
        <f aca="false">'Vòng loại'!$C11</f>
        <v>Đội Vàng</v>
      </c>
      <c r="E11" s="46" t="str">
        <f aca="false">'Vòng loại'!$D11</f>
        <v>Đội Trắng</v>
      </c>
      <c r="F11" s="47"/>
      <c r="G11" s="47"/>
      <c r="H11" s="48" t="str">
        <f aca="false">IFERROR(INDEX('Đội hình'!$C$13:$C$24,MATCH($D11&amp;"|"&amp;$C11,'Đội hình'!$F$13:$F$24,0))&amp;"","")</f>
        <v/>
      </c>
      <c r="I11" s="48" t="str">
        <f aca="false">IFERROR(INDEX('Đội hình'!$D$13:$D$24,MATCH($D11&amp;"|"&amp;$C11,'Đội hình'!$F$13:$F$24,0))&amp;"","")</f>
        <v/>
      </c>
      <c r="J11" s="48" t="str">
        <f aca="false">IFERROR(INDEX('Đội hình'!$C$13:$C$24,MATCH($E11&amp;"|"&amp;$C11,'Đội hình'!$F$13:$F$24,0))&amp;"","")</f>
        <v/>
      </c>
      <c r="K11" s="48" t="str">
        <f aca="false">IFERROR(INDEX('Đội hình'!$D$13:$D$24,MATCH($E11&amp;"|"&amp;$C11,'Đội hình'!$F$13:$F$24,0))&amp;"","")</f>
        <v/>
      </c>
      <c r="L11" s="49" t="n">
        <f aca="false">IF(OR($H11="",$G11=""),0,SUMPRODUCT(($G$6:$G$29=$G11)*(($H$6:$H$29=$H11)+($I$6:$I$29=$H11)+($J$6:$J$29=$H11)+($K$6:$K$29=$H11))))</f>
        <v>0</v>
      </c>
      <c r="M11" s="49" t="n">
        <f aca="false">IF(OR($I11="",$G11=""),0,SUMPRODUCT(($G$6:$G$29=$G11)*(($H$6:$H$29=$I11)+($I$6:$I$29=$I11)+($J$6:$J$29=$I11)+($K$6:$K$29=$I11))))</f>
        <v>0</v>
      </c>
      <c r="N11" s="49" t="n">
        <f aca="false">IF(OR($J11="",$G11=""),0,SUMPRODUCT(($G$6:$G$29=$G11)*(($H$6:$H$29=$J11)+($I$6:$I$29=$J11)+($J$6:$J$29=$J11)+($K$6:$K$29=$J11))))</f>
        <v>0</v>
      </c>
      <c r="O11" s="49" t="n">
        <f aca="false">IF(OR($K11="",$G11=""),0,SUMPRODUCT(($G$6:$G$29=$G11)*(($H$6:$H$29=$K11)+($I$6:$I$29=$K11)+($J$6:$J$29=$K11)+($K$6:$K$29=$K11))))</f>
        <v>0</v>
      </c>
      <c r="P11" s="50" t="str">
        <f aca="false">IF(OR($F11="",$G11=""),"",IF(SUMPRODUCT(($F$6:$F$29=$F11)*($G$6:$G$29=$G11))&gt;1,"⚠ Trùng sân  ","")&amp;IF(MAX($L11:$O11)&gt;1,"⚠ Trùng người",""))</f>
        <v/>
      </c>
    </row>
    <row r="12" customFormat="false" ht="15" hidden="false" customHeight="false" outlineLevel="0" collapsed="false">
      <c r="A12" s="12" t="n">
        <f aca="false">'Vòng loại'!$A12</f>
        <v>7</v>
      </c>
      <c r="B12" s="45" t="str">
        <f aca="false">"Loại · lượt "&amp;'Vòng loại'!$B12</f>
        <v>Loại · lượt 3</v>
      </c>
      <c r="C12" s="46" t="str">
        <f aca="false">'Vòng loại'!$E12</f>
        <v>Đôi nam</v>
      </c>
      <c r="D12" s="46" t="str">
        <f aca="false">'Vòng loại'!$C12</f>
        <v>Đội Đỏ</v>
      </c>
      <c r="E12" s="46" t="str">
        <f aca="false">'Vòng loại'!$D12</f>
        <v>Đội Vàng</v>
      </c>
      <c r="F12" s="47"/>
      <c r="G12" s="47"/>
      <c r="H12" s="48" t="str">
        <f aca="false">IFERROR(INDEX('Đội hình'!$C$13:$C$24,MATCH($D12&amp;"|"&amp;$C12,'Đội hình'!$F$13:$F$24,0))&amp;"","")</f>
        <v/>
      </c>
      <c r="I12" s="48" t="str">
        <f aca="false">IFERROR(INDEX('Đội hình'!$D$13:$D$24,MATCH($D12&amp;"|"&amp;$C12,'Đội hình'!$F$13:$F$24,0))&amp;"","")</f>
        <v/>
      </c>
      <c r="J12" s="48" t="str">
        <f aca="false">IFERROR(INDEX('Đội hình'!$C$13:$C$24,MATCH($E12&amp;"|"&amp;$C12,'Đội hình'!$F$13:$F$24,0))&amp;"","")</f>
        <v/>
      </c>
      <c r="K12" s="48" t="str">
        <f aca="false">IFERROR(INDEX('Đội hình'!$D$13:$D$24,MATCH($E12&amp;"|"&amp;$C12,'Đội hình'!$F$13:$F$24,0))&amp;"","")</f>
        <v/>
      </c>
      <c r="L12" s="49" t="n">
        <f aca="false">IF(OR($H12="",$G12=""),0,SUMPRODUCT(($G$6:$G$29=$G12)*(($H$6:$H$29=$H12)+($I$6:$I$29=$H12)+($J$6:$J$29=$H12)+($K$6:$K$29=$H12))))</f>
        <v>0</v>
      </c>
      <c r="M12" s="49" t="n">
        <f aca="false">IF(OR($I12="",$G12=""),0,SUMPRODUCT(($G$6:$G$29=$G12)*(($H$6:$H$29=$I12)+($I$6:$I$29=$I12)+($J$6:$J$29=$I12)+($K$6:$K$29=$I12))))</f>
        <v>0</v>
      </c>
      <c r="N12" s="49" t="n">
        <f aca="false">IF(OR($J12="",$G12=""),0,SUMPRODUCT(($G$6:$G$29=$G12)*(($H$6:$H$29=$J12)+($I$6:$I$29=$J12)+($J$6:$J$29=$J12)+($K$6:$K$29=$J12))))</f>
        <v>0</v>
      </c>
      <c r="O12" s="49" t="n">
        <f aca="false">IF(OR($K12="",$G12=""),0,SUMPRODUCT(($G$6:$G$29=$G12)*(($H$6:$H$29=$K12)+($I$6:$I$29=$K12)+($J$6:$J$29=$K12)+($K$6:$K$29=$K12))))</f>
        <v>0</v>
      </c>
      <c r="P12" s="50" t="str">
        <f aca="false">IF(OR($F12="",$G12=""),"",IF(SUMPRODUCT(($F$6:$F$29=$F12)*($G$6:$G$29=$G12))&gt;1,"⚠ Trùng sân  ","")&amp;IF(MAX($L12:$O12)&gt;1,"⚠ Trùng người",""))</f>
        <v/>
      </c>
    </row>
    <row r="13" customFormat="false" ht="15" hidden="false" customHeight="false" outlineLevel="0" collapsed="false">
      <c r="A13" s="12" t="n">
        <f aca="false">'Vòng loại'!$A13</f>
        <v>8</v>
      </c>
      <c r="B13" s="45" t="str">
        <f aca="false">"Loại · lượt "&amp;'Vòng loại'!$B13</f>
        <v>Loại · lượt 3</v>
      </c>
      <c r="C13" s="46" t="str">
        <f aca="false">'Vòng loại'!$E13</f>
        <v>Đôi nữ</v>
      </c>
      <c r="D13" s="46" t="str">
        <f aca="false">'Vòng loại'!$C13</f>
        <v>Đội Đỏ</v>
      </c>
      <c r="E13" s="46" t="str">
        <f aca="false">'Vòng loại'!$D13</f>
        <v>Đội Vàng</v>
      </c>
      <c r="F13" s="47"/>
      <c r="G13" s="47"/>
      <c r="H13" s="48" t="str">
        <f aca="false">IFERROR(INDEX('Đội hình'!$C$13:$C$24,MATCH($D13&amp;"|"&amp;$C13,'Đội hình'!$F$13:$F$24,0))&amp;"","")</f>
        <v/>
      </c>
      <c r="I13" s="48" t="str">
        <f aca="false">IFERROR(INDEX('Đội hình'!$D$13:$D$24,MATCH($D13&amp;"|"&amp;$C13,'Đội hình'!$F$13:$F$24,0))&amp;"","")</f>
        <v/>
      </c>
      <c r="J13" s="48" t="str">
        <f aca="false">IFERROR(INDEX('Đội hình'!$C$13:$C$24,MATCH($E13&amp;"|"&amp;$C13,'Đội hình'!$F$13:$F$24,0))&amp;"","")</f>
        <v/>
      </c>
      <c r="K13" s="48" t="str">
        <f aca="false">IFERROR(INDEX('Đội hình'!$D$13:$D$24,MATCH($E13&amp;"|"&amp;$C13,'Đội hình'!$F$13:$F$24,0))&amp;"","")</f>
        <v/>
      </c>
      <c r="L13" s="49" t="n">
        <f aca="false">IF(OR($H13="",$G13=""),0,SUMPRODUCT(($G$6:$G$29=$G13)*(($H$6:$H$29=$H13)+($I$6:$I$29=$H13)+($J$6:$J$29=$H13)+($K$6:$K$29=$H13))))</f>
        <v>0</v>
      </c>
      <c r="M13" s="49" t="n">
        <f aca="false">IF(OR($I13="",$G13=""),0,SUMPRODUCT(($G$6:$G$29=$G13)*(($H$6:$H$29=$I13)+($I$6:$I$29=$I13)+($J$6:$J$29=$I13)+($K$6:$K$29=$I13))))</f>
        <v>0</v>
      </c>
      <c r="N13" s="49" t="n">
        <f aca="false">IF(OR($J13="",$G13=""),0,SUMPRODUCT(($G$6:$G$29=$G13)*(($H$6:$H$29=$J13)+($I$6:$I$29=$J13)+($J$6:$J$29=$J13)+($K$6:$K$29=$J13))))</f>
        <v>0</v>
      </c>
      <c r="O13" s="49" t="n">
        <f aca="false">IF(OR($K13="",$G13=""),0,SUMPRODUCT(($G$6:$G$29=$G13)*(($H$6:$H$29=$K13)+($I$6:$I$29=$K13)+($J$6:$J$29=$K13)+($K$6:$K$29=$K13))))</f>
        <v>0</v>
      </c>
      <c r="P13" s="50" t="str">
        <f aca="false">IF(OR($F13="",$G13=""),"",IF(SUMPRODUCT(($F$6:$F$29=$F13)*($G$6:$G$29=$G13))&gt;1,"⚠ Trùng sân  ","")&amp;IF(MAX($L13:$O13)&gt;1,"⚠ Trùng người",""))</f>
        <v/>
      </c>
    </row>
    <row r="14" customFormat="false" ht="15" hidden="false" customHeight="false" outlineLevel="0" collapsed="false">
      <c r="A14" s="12" t="n">
        <f aca="false">'Vòng loại'!$A14</f>
        <v>9</v>
      </c>
      <c r="B14" s="45" t="str">
        <f aca="false">"Loại · lượt "&amp;'Vòng loại'!$B14</f>
        <v>Loại · lượt 3</v>
      </c>
      <c r="C14" s="46" t="str">
        <f aca="false">'Vòng loại'!$E14</f>
        <v>Đôi nam nữ</v>
      </c>
      <c r="D14" s="46" t="str">
        <f aca="false">'Vòng loại'!$C14</f>
        <v>Đội Đỏ</v>
      </c>
      <c r="E14" s="46" t="str">
        <f aca="false">'Vòng loại'!$D14</f>
        <v>Đội Vàng</v>
      </c>
      <c r="F14" s="47"/>
      <c r="G14" s="47"/>
      <c r="H14" s="48" t="str">
        <f aca="false">IFERROR(INDEX('Đội hình'!$C$13:$C$24,MATCH($D14&amp;"|"&amp;$C14,'Đội hình'!$F$13:$F$24,0))&amp;"","")</f>
        <v/>
      </c>
      <c r="I14" s="48" t="str">
        <f aca="false">IFERROR(INDEX('Đội hình'!$D$13:$D$24,MATCH($D14&amp;"|"&amp;$C14,'Đội hình'!$F$13:$F$24,0))&amp;"","")</f>
        <v/>
      </c>
      <c r="J14" s="48" t="str">
        <f aca="false">IFERROR(INDEX('Đội hình'!$C$13:$C$24,MATCH($E14&amp;"|"&amp;$C14,'Đội hình'!$F$13:$F$24,0))&amp;"","")</f>
        <v/>
      </c>
      <c r="K14" s="48" t="str">
        <f aca="false">IFERROR(INDEX('Đội hình'!$D$13:$D$24,MATCH($E14&amp;"|"&amp;$C14,'Đội hình'!$F$13:$F$24,0))&amp;"","")</f>
        <v/>
      </c>
      <c r="L14" s="49" t="n">
        <f aca="false">IF(OR($H14="",$G14=""),0,SUMPRODUCT(($G$6:$G$29=$G14)*(($H$6:$H$29=$H14)+($I$6:$I$29=$H14)+($J$6:$J$29=$H14)+($K$6:$K$29=$H14))))</f>
        <v>0</v>
      </c>
      <c r="M14" s="49" t="n">
        <f aca="false">IF(OR($I14="",$G14=""),0,SUMPRODUCT(($G$6:$G$29=$G14)*(($H$6:$H$29=$I14)+($I$6:$I$29=$I14)+($J$6:$J$29=$I14)+($K$6:$K$29=$I14))))</f>
        <v>0</v>
      </c>
      <c r="N14" s="49" t="n">
        <f aca="false">IF(OR($J14="",$G14=""),0,SUMPRODUCT(($G$6:$G$29=$G14)*(($H$6:$H$29=$J14)+($I$6:$I$29=$J14)+($J$6:$J$29=$J14)+($K$6:$K$29=$J14))))</f>
        <v>0</v>
      </c>
      <c r="O14" s="49" t="n">
        <f aca="false">IF(OR($K14="",$G14=""),0,SUMPRODUCT(($G$6:$G$29=$G14)*(($H$6:$H$29=$K14)+($I$6:$I$29=$K14)+($J$6:$J$29=$K14)+($K$6:$K$29=$K14))))</f>
        <v>0</v>
      </c>
      <c r="P14" s="50" t="str">
        <f aca="false">IF(OR($F14="",$G14=""),"",IF(SUMPRODUCT(($F$6:$F$29=$F14)*($G$6:$G$29=$G14))&gt;1,"⚠ Trùng sân  ","")&amp;IF(MAX($L14:$O14)&gt;1,"⚠ Trùng người",""))</f>
        <v/>
      </c>
    </row>
    <row r="15" customFormat="false" ht="15" hidden="false" customHeight="false" outlineLevel="0" collapsed="false">
      <c r="A15" s="12" t="n">
        <f aca="false">'Vòng loại'!$A15</f>
        <v>10</v>
      </c>
      <c r="B15" s="45" t="str">
        <f aca="false">"Loại · lượt "&amp;'Vòng loại'!$B15</f>
        <v>Loại · lượt 4</v>
      </c>
      <c r="C15" s="46" t="str">
        <f aca="false">'Vòng loại'!$E15</f>
        <v>Đôi nam</v>
      </c>
      <c r="D15" s="46" t="str">
        <f aca="false">'Vòng loại'!$C15</f>
        <v>Đội Xanh</v>
      </c>
      <c r="E15" s="46" t="str">
        <f aca="false">'Vòng loại'!$D15</f>
        <v>Đội Trắng</v>
      </c>
      <c r="F15" s="47"/>
      <c r="G15" s="47"/>
      <c r="H15" s="48" t="str">
        <f aca="false">IFERROR(INDEX('Đội hình'!$C$13:$C$24,MATCH($D15&amp;"|"&amp;$C15,'Đội hình'!$F$13:$F$24,0))&amp;"","")</f>
        <v/>
      </c>
      <c r="I15" s="48" t="str">
        <f aca="false">IFERROR(INDEX('Đội hình'!$D$13:$D$24,MATCH($D15&amp;"|"&amp;$C15,'Đội hình'!$F$13:$F$24,0))&amp;"","")</f>
        <v/>
      </c>
      <c r="J15" s="48" t="str">
        <f aca="false">IFERROR(INDEX('Đội hình'!$C$13:$C$24,MATCH($E15&amp;"|"&amp;$C15,'Đội hình'!$F$13:$F$24,0))&amp;"","")</f>
        <v/>
      </c>
      <c r="K15" s="48" t="str">
        <f aca="false">IFERROR(INDEX('Đội hình'!$D$13:$D$24,MATCH($E15&amp;"|"&amp;$C15,'Đội hình'!$F$13:$F$24,0))&amp;"","")</f>
        <v/>
      </c>
      <c r="L15" s="49" t="n">
        <f aca="false">IF(OR($H15="",$G15=""),0,SUMPRODUCT(($G$6:$G$29=$G15)*(($H$6:$H$29=$H15)+($I$6:$I$29=$H15)+($J$6:$J$29=$H15)+($K$6:$K$29=$H15))))</f>
        <v>0</v>
      </c>
      <c r="M15" s="49" t="n">
        <f aca="false">IF(OR($I15="",$G15=""),0,SUMPRODUCT(($G$6:$G$29=$G15)*(($H$6:$H$29=$I15)+($I$6:$I$29=$I15)+($J$6:$J$29=$I15)+($K$6:$K$29=$I15))))</f>
        <v>0</v>
      </c>
      <c r="N15" s="49" t="n">
        <f aca="false">IF(OR($J15="",$G15=""),0,SUMPRODUCT(($G$6:$G$29=$G15)*(($H$6:$H$29=$J15)+($I$6:$I$29=$J15)+($J$6:$J$29=$J15)+($K$6:$K$29=$J15))))</f>
        <v>0</v>
      </c>
      <c r="O15" s="49" t="n">
        <f aca="false">IF(OR($K15="",$G15=""),0,SUMPRODUCT(($G$6:$G$29=$G15)*(($H$6:$H$29=$K15)+($I$6:$I$29=$K15)+($J$6:$J$29=$K15)+($K$6:$K$29=$K15))))</f>
        <v>0</v>
      </c>
      <c r="P15" s="50" t="str">
        <f aca="false">IF(OR($F15="",$G15=""),"",IF(SUMPRODUCT(($F$6:$F$29=$F15)*($G$6:$G$29=$G15))&gt;1,"⚠ Trùng sân  ","")&amp;IF(MAX($L15:$O15)&gt;1,"⚠ Trùng người",""))</f>
        <v/>
      </c>
    </row>
    <row r="16" customFormat="false" ht="15" hidden="false" customHeight="false" outlineLevel="0" collapsed="false">
      <c r="A16" s="12" t="n">
        <f aca="false">'Vòng loại'!$A16</f>
        <v>11</v>
      </c>
      <c r="B16" s="45" t="str">
        <f aca="false">"Loại · lượt "&amp;'Vòng loại'!$B16</f>
        <v>Loại · lượt 4</v>
      </c>
      <c r="C16" s="46" t="str">
        <f aca="false">'Vòng loại'!$E16</f>
        <v>Đôi nữ</v>
      </c>
      <c r="D16" s="46" t="str">
        <f aca="false">'Vòng loại'!$C16</f>
        <v>Đội Xanh</v>
      </c>
      <c r="E16" s="46" t="str">
        <f aca="false">'Vòng loại'!$D16</f>
        <v>Đội Trắng</v>
      </c>
      <c r="F16" s="47"/>
      <c r="G16" s="47"/>
      <c r="H16" s="48" t="str">
        <f aca="false">IFERROR(INDEX('Đội hình'!$C$13:$C$24,MATCH($D16&amp;"|"&amp;$C16,'Đội hình'!$F$13:$F$24,0))&amp;"","")</f>
        <v/>
      </c>
      <c r="I16" s="48" t="str">
        <f aca="false">IFERROR(INDEX('Đội hình'!$D$13:$D$24,MATCH($D16&amp;"|"&amp;$C16,'Đội hình'!$F$13:$F$24,0))&amp;"","")</f>
        <v/>
      </c>
      <c r="J16" s="48" t="str">
        <f aca="false">IFERROR(INDEX('Đội hình'!$C$13:$C$24,MATCH($E16&amp;"|"&amp;$C16,'Đội hình'!$F$13:$F$24,0))&amp;"","")</f>
        <v/>
      </c>
      <c r="K16" s="48" t="str">
        <f aca="false">IFERROR(INDEX('Đội hình'!$D$13:$D$24,MATCH($E16&amp;"|"&amp;$C16,'Đội hình'!$F$13:$F$24,0))&amp;"","")</f>
        <v/>
      </c>
      <c r="L16" s="49" t="n">
        <f aca="false">IF(OR($H16="",$G16=""),0,SUMPRODUCT(($G$6:$G$29=$G16)*(($H$6:$H$29=$H16)+($I$6:$I$29=$H16)+($J$6:$J$29=$H16)+($K$6:$K$29=$H16))))</f>
        <v>0</v>
      </c>
      <c r="M16" s="49" t="n">
        <f aca="false">IF(OR($I16="",$G16=""),0,SUMPRODUCT(($G$6:$G$29=$G16)*(($H$6:$H$29=$I16)+($I$6:$I$29=$I16)+($J$6:$J$29=$I16)+($K$6:$K$29=$I16))))</f>
        <v>0</v>
      </c>
      <c r="N16" s="49" t="n">
        <f aca="false">IF(OR($J16="",$G16=""),0,SUMPRODUCT(($G$6:$G$29=$G16)*(($H$6:$H$29=$J16)+($I$6:$I$29=$J16)+($J$6:$J$29=$J16)+($K$6:$K$29=$J16))))</f>
        <v>0</v>
      </c>
      <c r="O16" s="49" t="n">
        <f aca="false">IF(OR($K16="",$G16=""),0,SUMPRODUCT(($G$6:$G$29=$G16)*(($H$6:$H$29=$K16)+($I$6:$I$29=$K16)+($J$6:$J$29=$K16)+($K$6:$K$29=$K16))))</f>
        <v>0</v>
      </c>
      <c r="P16" s="50" t="str">
        <f aca="false">IF(OR($F16="",$G16=""),"",IF(SUMPRODUCT(($F$6:$F$29=$F16)*($G$6:$G$29=$G16))&gt;1,"⚠ Trùng sân  ","")&amp;IF(MAX($L16:$O16)&gt;1,"⚠ Trùng người",""))</f>
        <v/>
      </c>
    </row>
    <row r="17" customFormat="false" ht="15" hidden="false" customHeight="false" outlineLevel="0" collapsed="false">
      <c r="A17" s="12" t="n">
        <f aca="false">'Vòng loại'!$A17</f>
        <v>12</v>
      </c>
      <c r="B17" s="45" t="str">
        <f aca="false">"Loại · lượt "&amp;'Vòng loại'!$B17</f>
        <v>Loại · lượt 4</v>
      </c>
      <c r="C17" s="46" t="str">
        <f aca="false">'Vòng loại'!$E17</f>
        <v>Đôi nam nữ</v>
      </c>
      <c r="D17" s="46" t="str">
        <f aca="false">'Vòng loại'!$C17</f>
        <v>Đội Xanh</v>
      </c>
      <c r="E17" s="46" t="str">
        <f aca="false">'Vòng loại'!$D17</f>
        <v>Đội Trắng</v>
      </c>
      <c r="F17" s="47"/>
      <c r="G17" s="47"/>
      <c r="H17" s="48" t="str">
        <f aca="false">IFERROR(INDEX('Đội hình'!$C$13:$C$24,MATCH($D17&amp;"|"&amp;$C17,'Đội hình'!$F$13:$F$24,0))&amp;"","")</f>
        <v/>
      </c>
      <c r="I17" s="48" t="str">
        <f aca="false">IFERROR(INDEX('Đội hình'!$D$13:$D$24,MATCH($D17&amp;"|"&amp;$C17,'Đội hình'!$F$13:$F$24,0))&amp;"","")</f>
        <v/>
      </c>
      <c r="J17" s="48" t="str">
        <f aca="false">IFERROR(INDEX('Đội hình'!$C$13:$C$24,MATCH($E17&amp;"|"&amp;$C17,'Đội hình'!$F$13:$F$24,0))&amp;"","")</f>
        <v/>
      </c>
      <c r="K17" s="48" t="str">
        <f aca="false">IFERROR(INDEX('Đội hình'!$D$13:$D$24,MATCH($E17&amp;"|"&amp;$C17,'Đội hình'!$F$13:$F$24,0))&amp;"","")</f>
        <v/>
      </c>
      <c r="L17" s="49" t="n">
        <f aca="false">IF(OR($H17="",$G17=""),0,SUMPRODUCT(($G$6:$G$29=$G17)*(($H$6:$H$29=$H17)+($I$6:$I$29=$H17)+($J$6:$J$29=$H17)+($K$6:$K$29=$H17))))</f>
        <v>0</v>
      </c>
      <c r="M17" s="49" t="n">
        <f aca="false">IF(OR($I17="",$G17=""),0,SUMPRODUCT(($G$6:$G$29=$G17)*(($H$6:$H$29=$I17)+($I$6:$I$29=$I17)+($J$6:$J$29=$I17)+($K$6:$K$29=$I17))))</f>
        <v>0</v>
      </c>
      <c r="N17" s="49" t="n">
        <f aca="false">IF(OR($J17="",$G17=""),0,SUMPRODUCT(($G$6:$G$29=$G17)*(($H$6:$H$29=$J17)+($I$6:$I$29=$J17)+($J$6:$J$29=$J17)+($K$6:$K$29=$J17))))</f>
        <v>0</v>
      </c>
      <c r="O17" s="49" t="n">
        <f aca="false">IF(OR($K17="",$G17=""),0,SUMPRODUCT(($G$6:$G$29=$G17)*(($H$6:$H$29=$K17)+($I$6:$I$29=$K17)+($J$6:$J$29=$K17)+($K$6:$K$29=$K17))))</f>
        <v>0</v>
      </c>
      <c r="P17" s="50" t="str">
        <f aca="false">IF(OR($F17="",$G17=""),"",IF(SUMPRODUCT(($F$6:$F$29=$F17)*($G$6:$G$29=$G17))&gt;1,"⚠ Trùng sân  ","")&amp;IF(MAX($L17:$O17)&gt;1,"⚠ Trùng người",""))</f>
        <v/>
      </c>
    </row>
    <row r="18" customFormat="false" ht="15" hidden="false" customHeight="false" outlineLevel="0" collapsed="false">
      <c r="A18" s="12" t="n">
        <f aca="false">'Vòng loại'!$A18</f>
        <v>13</v>
      </c>
      <c r="B18" s="45" t="str">
        <f aca="false">"Loại · lượt "&amp;'Vòng loại'!$B18</f>
        <v>Loại · lượt 5</v>
      </c>
      <c r="C18" s="46" t="str">
        <f aca="false">'Vòng loại'!$E18</f>
        <v>Đôi nam</v>
      </c>
      <c r="D18" s="46" t="str">
        <f aca="false">'Vòng loại'!$C18</f>
        <v>Đội Đỏ</v>
      </c>
      <c r="E18" s="46" t="str">
        <f aca="false">'Vòng loại'!$D18</f>
        <v>Đội Trắng</v>
      </c>
      <c r="F18" s="47"/>
      <c r="G18" s="47"/>
      <c r="H18" s="48" t="str">
        <f aca="false">IFERROR(INDEX('Đội hình'!$C$13:$C$24,MATCH($D18&amp;"|"&amp;$C18,'Đội hình'!$F$13:$F$24,0))&amp;"","")</f>
        <v/>
      </c>
      <c r="I18" s="48" t="str">
        <f aca="false">IFERROR(INDEX('Đội hình'!$D$13:$D$24,MATCH($D18&amp;"|"&amp;$C18,'Đội hình'!$F$13:$F$24,0))&amp;"","")</f>
        <v/>
      </c>
      <c r="J18" s="48" t="str">
        <f aca="false">IFERROR(INDEX('Đội hình'!$C$13:$C$24,MATCH($E18&amp;"|"&amp;$C18,'Đội hình'!$F$13:$F$24,0))&amp;"","")</f>
        <v/>
      </c>
      <c r="K18" s="48" t="str">
        <f aca="false">IFERROR(INDEX('Đội hình'!$D$13:$D$24,MATCH($E18&amp;"|"&amp;$C18,'Đội hình'!$F$13:$F$24,0))&amp;"","")</f>
        <v/>
      </c>
      <c r="L18" s="49" t="n">
        <f aca="false">IF(OR($H18="",$G18=""),0,SUMPRODUCT(($G$6:$G$29=$G18)*(($H$6:$H$29=$H18)+($I$6:$I$29=$H18)+($J$6:$J$29=$H18)+($K$6:$K$29=$H18))))</f>
        <v>0</v>
      </c>
      <c r="M18" s="49" t="n">
        <f aca="false">IF(OR($I18="",$G18=""),0,SUMPRODUCT(($G$6:$G$29=$G18)*(($H$6:$H$29=$I18)+($I$6:$I$29=$I18)+($J$6:$J$29=$I18)+($K$6:$K$29=$I18))))</f>
        <v>0</v>
      </c>
      <c r="N18" s="49" t="n">
        <f aca="false">IF(OR($J18="",$G18=""),0,SUMPRODUCT(($G$6:$G$29=$G18)*(($H$6:$H$29=$J18)+($I$6:$I$29=$J18)+($J$6:$J$29=$J18)+($K$6:$K$29=$J18))))</f>
        <v>0</v>
      </c>
      <c r="O18" s="49" t="n">
        <f aca="false">IF(OR($K18="",$G18=""),0,SUMPRODUCT(($G$6:$G$29=$G18)*(($H$6:$H$29=$K18)+($I$6:$I$29=$K18)+($J$6:$J$29=$K18)+($K$6:$K$29=$K18))))</f>
        <v>0</v>
      </c>
      <c r="P18" s="50" t="str">
        <f aca="false">IF(OR($F18="",$G18=""),"",IF(SUMPRODUCT(($F$6:$F$29=$F18)*($G$6:$G$29=$G18))&gt;1,"⚠ Trùng sân  ","")&amp;IF(MAX($L18:$O18)&gt;1,"⚠ Trùng người",""))</f>
        <v/>
      </c>
    </row>
    <row r="19" customFormat="false" ht="15" hidden="false" customHeight="false" outlineLevel="0" collapsed="false">
      <c r="A19" s="12" t="n">
        <f aca="false">'Vòng loại'!$A19</f>
        <v>14</v>
      </c>
      <c r="B19" s="45" t="str">
        <f aca="false">"Loại · lượt "&amp;'Vòng loại'!$B19</f>
        <v>Loại · lượt 5</v>
      </c>
      <c r="C19" s="46" t="str">
        <f aca="false">'Vòng loại'!$E19</f>
        <v>Đôi nữ</v>
      </c>
      <c r="D19" s="46" t="str">
        <f aca="false">'Vòng loại'!$C19</f>
        <v>Đội Đỏ</v>
      </c>
      <c r="E19" s="46" t="str">
        <f aca="false">'Vòng loại'!$D19</f>
        <v>Đội Trắng</v>
      </c>
      <c r="F19" s="47"/>
      <c r="G19" s="47"/>
      <c r="H19" s="48" t="str">
        <f aca="false">IFERROR(INDEX('Đội hình'!$C$13:$C$24,MATCH($D19&amp;"|"&amp;$C19,'Đội hình'!$F$13:$F$24,0))&amp;"","")</f>
        <v/>
      </c>
      <c r="I19" s="48" t="str">
        <f aca="false">IFERROR(INDEX('Đội hình'!$D$13:$D$24,MATCH($D19&amp;"|"&amp;$C19,'Đội hình'!$F$13:$F$24,0))&amp;"","")</f>
        <v/>
      </c>
      <c r="J19" s="48" t="str">
        <f aca="false">IFERROR(INDEX('Đội hình'!$C$13:$C$24,MATCH($E19&amp;"|"&amp;$C19,'Đội hình'!$F$13:$F$24,0))&amp;"","")</f>
        <v/>
      </c>
      <c r="K19" s="48" t="str">
        <f aca="false">IFERROR(INDEX('Đội hình'!$D$13:$D$24,MATCH($E19&amp;"|"&amp;$C19,'Đội hình'!$F$13:$F$24,0))&amp;"","")</f>
        <v/>
      </c>
      <c r="L19" s="49" t="n">
        <f aca="false">IF(OR($H19="",$G19=""),0,SUMPRODUCT(($G$6:$G$29=$G19)*(($H$6:$H$29=$H19)+($I$6:$I$29=$H19)+($J$6:$J$29=$H19)+($K$6:$K$29=$H19))))</f>
        <v>0</v>
      </c>
      <c r="M19" s="49" t="n">
        <f aca="false">IF(OR($I19="",$G19=""),0,SUMPRODUCT(($G$6:$G$29=$G19)*(($H$6:$H$29=$I19)+($I$6:$I$29=$I19)+($J$6:$J$29=$I19)+($K$6:$K$29=$I19))))</f>
        <v>0</v>
      </c>
      <c r="N19" s="49" t="n">
        <f aca="false">IF(OR($J19="",$G19=""),0,SUMPRODUCT(($G$6:$G$29=$G19)*(($H$6:$H$29=$J19)+($I$6:$I$29=$J19)+($J$6:$J$29=$J19)+($K$6:$K$29=$J19))))</f>
        <v>0</v>
      </c>
      <c r="O19" s="49" t="n">
        <f aca="false">IF(OR($K19="",$G19=""),0,SUMPRODUCT(($G$6:$G$29=$G19)*(($H$6:$H$29=$K19)+($I$6:$I$29=$K19)+($J$6:$J$29=$K19)+($K$6:$K$29=$K19))))</f>
        <v>0</v>
      </c>
      <c r="P19" s="50" t="str">
        <f aca="false">IF(OR($F19="",$G19=""),"",IF(SUMPRODUCT(($F$6:$F$29=$F19)*($G$6:$G$29=$G19))&gt;1,"⚠ Trùng sân  ","")&amp;IF(MAX($L19:$O19)&gt;1,"⚠ Trùng người",""))</f>
        <v/>
      </c>
    </row>
    <row r="20" customFormat="false" ht="15" hidden="false" customHeight="false" outlineLevel="0" collapsed="false">
      <c r="A20" s="12" t="n">
        <f aca="false">'Vòng loại'!$A20</f>
        <v>15</v>
      </c>
      <c r="B20" s="45" t="str">
        <f aca="false">"Loại · lượt "&amp;'Vòng loại'!$B20</f>
        <v>Loại · lượt 5</v>
      </c>
      <c r="C20" s="46" t="str">
        <f aca="false">'Vòng loại'!$E20</f>
        <v>Đôi nam nữ</v>
      </c>
      <c r="D20" s="46" t="str">
        <f aca="false">'Vòng loại'!$C20</f>
        <v>Đội Đỏ</v>
      </c>
      <c r="E20" s="46" t="str">
        <f aca="false">'Vòng loại'!$D20</f>
        <v>Đội Trắng</v>
      </c>
      <c r="F20" s="47"/>
      <c r="G20" s="47"/>
      <c r="H20" s="48" t="str">
        <f aca="false">IFERROR(INDEX('Đội hình'!$C$13:$C$24,MATCH($D20&amp;"|"&amp;$C20,'Đội hình'!$F$13:$F$24,0))&amp;"","")</f>
        <v/>
      </c>
      <c r="I20" s="48" t="str">
        <f aca="false">IFERROR(INDEX('Đội hình'!$D$13:$D$24,MATCH($D20&amp;"|"&amp;$C20,'Đội hình'!$F$13:$F$24,0))&amp;"","")</f>
        <v/>
      </c>
      <c r="J20" s="48" t="str">
        <f aca="false">IFERROR(INDEX('Đội hình'!$C$13:$C$24,MATCH($E20&amp;"|"&amp;$C20,'Đội hình'!$F$13:$F$24,0))&amp;"","")</f>
        <v/>
      </c>
      <c r="K20" s="48" t="str">
        <f aca="false">IFERROR(INDEX('Đội hình'!$D$13:$D$24,MATCH($E20&amp;"|"&amp;$C20,'Đội hình'!$F$13:$F$24,0))&amp;"","")</f>
        <v/>
      </c>
      <c r="L20" s="49" t="n">
        <f aca="false">IF(OR($H20="",$G20=""),0,SUMPRODUCT(($G$6:$G$29=$G20)*(($H$6:$H$29=$H20)+($I$6:$I$29=$H20)+($J$6:$J$29=$H20)+($K$6:$K$29=$H20))))</f>
        <v>0</v>
      </c>
      <c r="M20" s="49" t="n">
        <f aca="false">IF(OR($I20="",$G20=""),0,SUMPRODUCT(($G$6:$G$29=$G20)*(($H$6:$H$29=$I20)+($I$6:$I$29=$I20)+($J$6:$J$29=$I20)+($K$6:$K$29=$I20))))</f>
        <v>0</v>
      </c>
      <c r="N20" s="49" t="n">
        <f aca="false">IF(OR($J20="",$G20=""),0,SUMPRODUCT(($G$6:$G$29=$G20)*(($H$6:$H$29=$J20)+($I$6:$I$29=$J20)+($J$6:$J$29=$J20)+($K$6:$K$29=$J20))))</f>
        <v>0</v>
      </c>
      <c r="O20" s="49" t="n">
        <f aca="false">IF(OR($K20="",$G20=""),0,SUMPRODUCT(($G$6:$G$29=$G20)*(($H$6:$H$29=$K20)+($I$6:$I$29=$K20)+($J$6:$J$29=$K20)+($K$6:$K$29=$K20))))</f>
        <v>0</v>
      </c>
      <c r="P20" s="50" t="str">
        <f aca="false">IF(OR($F20="",$G20=""),"",IF(SUMPRODUCT(($F$6:$F$29=$F20)*($G$6:$G$29=$G20))&gt;1,"⚠ Trùng sân  ","")&amp;IF(MAX($L20:$O20)&gt;1,"⚠ Trùng người",""))</f>
        <v/>
      </c>
    </row>
    <row r="21" customFormat="false" ht="15" hidden="false" customHeight="false" outlineLevel="0" collapsed="false">
      <c r="A21" s="12" t="n">
        <f aca="false">'Vòng loại'!$A21</f>
        <v>16</v>
      </c>
      <c r="B21" s="45" t="str">
        <f aca="false">"Loại · lượt "&amp;'Vòng loại'!$B21</f>
        <v>Loại · lượt 6</v>
      </c>
      <c r="C21" s="46" t="str">
        <f aca="false">'Vòng loại'!$E21</f>
        <v>Đôi nam</v>
      </c>
      <c r="D21" s="46" t="str">
        <f aca="false">'Vòng loại'!$C21</f>
        <v>Đội Xanh</v>
      </c>
      <c r="E21" s="46" t="str">
        <f aca="false">'Vòng loại'!$D21</f>
        <v>Đội Vàng</v>
      </c>
      <c r="F21" s="47"/>
      <c r="G21" s="47"/>
      <c r="H21" s="48" t="str">
        <f aca="false">IFERROR(INDEX('Đội hình'!$C$13:$C$24,MATCH($D21&amp;"|"&amp;$C21,'Đội hình'!$F$13:$F$24,0))&amp;"","")</f>
        <v/>
      </c>
      <c r="I21" s="48" t="str">
        <f aca="false">IFERROR(INDEX('Đội hình'!$D$13:$D$24,MATCH($D21&amp;"|"&amp;$C21,'Đội hình'!$F$13:$F$24,0))&amp;"","")</f>
        <v/>
      </c>
      <c r="J21" s="48" t="str">
        <f aca="false">IFERROR(INDEX('Đội hình'!$C$13:$C$24,MATCH($E21&amp;"|"&amp;$C21,'Đội hình'!$F$13:$F$24,0))&amp;"","")</f>
        <v/>
      </c>
      <c r="K21" s="48" t="str">
        <f aca="false">IFERROR(INDEX('Đội hình'!$D$13:$D$24,MATCH($E21&amp;"|"&amp;$C21,'Đội hình'!$F$13:$F$24,0))&amp;"","")</f>
        <v/>
      </c>
      <c r="L21" s="49" t="n">
        <f aca="false">IF(OR($H21="",$G21=""),0,SUMPRODUCT(($G$6:$G$29=$G21)*(($H$6:$H$29=$H21)+($I$6:$I$29=$H21)+($J$6:$J$29=$H21)+($K$6:$K$29=$H21))))</f>
        <v>0</v>
      </c>
      <c r="M21" s="49" t="n">
        <f aca="false">IF(OR($I21="",$G21=""),0,SUMPRODUCT(($G$6:$G$29=$G21)*(($H$6:$H$29=$I21)+($I$6:$I$29=$I21)+($J$6:$J$29=$I21)+($K$6:$K$29=$I21))))</f>
        <v>0</v>
      </c>
      <c r="N21" s="49" t="n">
        <f aca="false">IF(OR($J21="",$G21=""),0,SUMPRODUCT(($G$6:$G$29=$G21)*(($H$6:$H$29=$J21)+($I$6:$I$29=$J21)+($J$6:$J$29=$J21)+($K$6:$K$29=$J21))))</f>
        <v>0</v>
      </c>
      <c r="O21" s="49" t="n">
        <f aca="false">IF(OR($K21="",$G21=""),0,SUMPRODUCT(($G$6:$G$29=$G21)*(($H$6:$H$29=$K21)+($I$6:$I$29=$K21)+($J$6:$J$29=$K21)+($K$6:$K$29=$K21))))</f>
        <v>0</v>
      </c>
      <c r="P21" s="50" t="str">
        <f aca="false">IF(OR($F21="",$G21=""),"",IF(SUMPRODUCT(($F$6:$F$29=$F21)*($G$6:$G$29=$G21))&gt;1,"⚠ Trùng sân  ","")&amp;IF(MAX($L21:$O21)&gt;1,"⚠ Trùng người",""))</f>
        <v/>
      </c>
    </row>
    <row r="22" customFormat="false" ht="15" hidden="false" customHeight="false" outlineLevel="0" collapsed="false">
      <c r="A22" s="12" t="n">
        <f aca="false">'Vòng loại'!$A22</f>
        <v>17</v>
      </c>
      <c r="B22" s="45" t="str">
        <f aca="false">"Loại · lượt "&amp;'Vòng loại'!$B22</f>
        <v>Loại · lượt 6</v>
      </c>
      <c r="C22" s="46" t="str">
        <f aca="false">'Vòng loại'!$E22</f>
        <v>Đôi nữ</v>
      </c>
      <c r="D22" s="46" t="str">
        <f aca="false">'Vòng loại'!$C22</f>
        <v>Đội Xanh</v>
      </c>
      <c r="E22" s="46" t="str">
        <f aca="false">'Vòng loại'!$D22</f>
        <v>Đội Vàng</v>
      </c>
      <c r="F22" s="47"/>
      <c r="G22" s="47"/>
      <c r="H22" s="48" t="str">
        <f aca="false">IFERROR(INDEX('Đội hình'!$C$13:$C$24,MATCH($D22&amp;"|"&amp;$C22,'Đội hình'!$F$13:$F$24,0))&amp;"","")</f>
        <v/>
      </c>
      <c r="I22" s="48" t="str">
        <f aca="false">IFERROR(INDEX('Đội hình'!$D$13:$D$24,MATCH($D22&amp;"|"&amp;$C22,'Đội hình'!$F$13:$F$24,0))&amp;"","")</f>
        <v/>
      </c>
      <c r="J22" s="48" t="str">
        <f aca="false">IFERROR(INDEX('Đội hình'!$C$13:$C$24,MATCH($E22&amp;"|"&amp;$C22,'Đội hình'!$F$13:$F$24,0))&amp;"","")</f>
        <v/>
      </c>
      <c r="K22" s="48" t="str">
        <f aca="false">IFERROR(INDEX('Đội hình'!$D$13:$D$24,MATCH($E22&amp;"|"&amp;$C22,'Đội hình'!$F$13:$F$24,0))&amp;"","")</f>
        <v/>
      </c>
      <c r="L22" s="49" t="n">
        <f aca="false">IF(OR($H22="",$G22=""),0,SUMPRODUCT(($G$6:$G$29=$G22)*(($H$6:$H$29=$H22)+($I$6:$I$29=$H22)+($J$6:$J$29=$H22)+($K$6:$K$29=$H22))))</f>
        <v>0</v>
      </c>
      <c r="M22" s="49" t="n">
        <f aca="false">IF(OR($I22="",$G22=""),0,SUMPRODUCT(($G$6:$G$29=$G22)*(($H$6:$H$29=$I22)+($I$6:$I$29=$I22)+($J$6:$J$29=$I22)+($K$6:$K$29=$I22))))</f>
        <v>0</v>
      </c>
      <c r="N22" s="49" t="n">
        <f aca="false">IF(OR($J22="",$G22=""),0,SUMPRODUCT(($G$6:$G$29=$G22)*(($H$6:$H$29=$J22)+($I$6:$I$29=$J22)+($J$6:$J$29=$J22)+($K$6:$K$29=$J22))))</f>
        <v>0</v>
      </c>
      <c r="O22" s="49" t="n">
        <f aca="false">IF(OR($K22="",$G22=""),0,SUMPRODUCT(($G$6:$G$29=$G22)*(($H$6:$H$29=$K22)+($I$6:$I$29=$K22)+($J$6:$J$29=$K22)+($K$6:$K$29=$K22))))</f>
        <v>0</v>
      </c>
      <c r="P22" s="50" t="str">
        <f aca="false">IF(OR($F22="",$G22=""),"",IF(SUMPRODUCT(($F$6:$F$29=$F22)*($G$6:$G$29=$G22))&gt;1,"⚠ Trùng sân  ","")&amp;IF(MAX($L22:$O22)&gt;1,"⚠ Trùng người",""))</f>
        <v/>
      </c>
    </row>
    <row r="23" customFormat="false" ht="15" hidden="false" customHeight="false" outlineLevel="0" collapsed="false">
      <c r="A23" s="12" t="n">
        <f aca="false">'Vòng loại'!$A23</f>
        <v>18</v>
      </c>
      <c r="B23" s="45" t="str">
        <f aca="false">"Loại · lượt "&amp;'Vòng loại'!$B23</f>
        <v>Loại · lượt 6</v>
      </c>
      <c r="C23" s="46" t="str">
        <f aca="false">'Vòng loại'!$E23</f>
        <v>Đôi nam nữ</v>
      </c>
      <c r="D23" s="46" t="str">
        <f aca="false">'Vòng loại'!$C23</f>
        <v>Đội Xanh</v>
      </c>
      <c r="E23" s="46" t="str">
        <f aca="false">'Vòng loại'!$D23</f>
        <v>Đội Vàng</v>
      </c>
      <c r="F23" s="47"/>
      <c r="G23" s="47"/>
      <c r="H23" s="48" t="str">
        <f aca="false">IFERROR(INDEX('Đội hình'!$C$13:$C$24,MATCH($D23&amp;"|"&amp;$C23,'Đội hình'!$F$13:$F$24,0))&amp;"","")</f>
        <v/>
      </c>
      <c r="I23" s="48" t="str">
        <f aca="false">IFERROR(INDEX('Đội hình'!$D$13:$D$24,MATCH($D23&amp;"|"&amp;$C23,'Đội hình'!$F$13:$F$24,0))&amp;"","")</f>
        <v/>
      </c>
      <c r="J23" s="48" t="str">
        <f aca="false">IFERROR(INDEX('Đội hình'!$C$13:$C$24,MATCH($E23&amp;"|"&amp;$C23,'Đội hình'!$F$13:$F$24,0))&amp;"","")</f>
        <v/>
      </c>
      <c r="K23" s="48" t="str">
        <f aca="false">IFERROR(INDEX('Đội hình'!$D$13:$D$24,MATCH($E23&amp;"|"&amp;$C23,'Đội hình'!$F$13:$F$24,0))&amp;"","")</f>
        <v/>
      </c>
      <c r="L23" s="49" t="n">
        <f aca="false">IF(OR($H23="",$G23=""),0,SUMPRODUCT(($G$6:$G$29=$G23)*(($H$6:$H$29=$H23)+($I$6:$I$29=$H23)+($J$6:$J$29=$H23)+($K$6:$K$29=$H23))))</f>
        <v>0</v>
      </c>
      <c r="M23" s="49" t="n">
        <f aca="false">IF(OR($I23="",$G23=""),0,SUMPRODUCT(($G$6:$G$29=$G23)*(($H$6:$H$29=$I23)+($I$6:$I$29=$I23)+($J$6:$J$29=$I23)+($K$6:$K$29=$I23))))</f>
        <v>0</v>
      </c>
      <c r="N23" s="49" t="n">
        <f aca="false">IF(OR($J23="",$G23=""),0,SUMPRODUCT(($G$6:$G$29=$G23)*(($H$6:$H$29=$J23)+($I$6:$I$29=$J23)+($J$6:$J$29=$J23)+($K$6:$K$29=$J23))))</f>
        <v>0</v>
      </c>
      <c r="O23" s="49" t="n">
        <f aca="false">IF(OR($K23="",$G23=""),0,SUMPRODUCT(($G$6:$G$29=$G23)*(($H$6:$H$29=$K23)+($I$6:$I$29=$K23)+($J$6:$J$29=$K23)+($K$6:$K$29=$K23))))</f>
        <v>0</v>
      </c>
      <c r="P23" s="50" t="str">
        <f aca="false">IF(OR($F23="",$G23=""),"",IF(SUMPRODUCT(($F$6:$F$29=$F23)*($G$6:$G$29=$G23))&gt;1,"⚠ Trùng sân  ","")&amp;IF(MAX($L23:$O23)&gt;1,"⚠ Trùng người",""))</f>
        <v/>
      </c>
    </row>
    <row r="24" customFormat="false" ht="15" hidden="false" customHeight="false" outlineLevel="0" collapsed="false">
      <c r="A24" s="25" t="n">
        <v>19</v>
      </c>
      <c r="B24" s="51" t="s">
        <v>163</v>
      </c>
      <c r="C24" s="52" t="str">
        <f aca="false">'Tranh hạng'!$A7</f>
        <v>Đôi nam</v>
      </c>
      <c r="D24" s="52" t="str">
        <f aca="false">'Tranh hạng'!$B5</f>
        <v>Đội Đỏ</v>
      </c>
      <c r="E24" s="52" t="str">
        <f aca="false">'Tranh hạng'!$E5</f>
        <v>Đội Xanh</v>
      </c>
      <c r="F24" s="53"/>
      <c r="G24" s="53"/>
      <c r="H24" s="54" t="str">
        <f aca="false">IFERROR(INDEX('Đội hình'!$C$29:$C$40,MATCH($D24&amp;"|"&amp;$C24,'Đội hình'!$F$29:$F$40,0))&amp;"","")</f>
        <v/>
      </c>
      <c r="I24" s="54" t="str">
        <f aca="false">IFERROR(INDEX('Đội hình'!$D$29:$D$40,MATCH($D24&amp;"|"&amp;$C24,'Đội hình'!$F$29:$F$40,0))&amp;"","")</f>
        <v/>
      </c>
      <c r="J24" s="54" t="str">
        <f aca="false">IFERROR(INDEX('Đội hình'!$C$29:$C$40,MATCH($E24&amp;"|"&amp;$C24,'Đội hình'!$F$29:$F$40,0))&amp;"","")</f>
        <v/>
      </c>
      <c r="K24" s="54" t="str">
        <f aca="false">IFERROR(INDEX('Đội hình'!$D$29:$D$40,MATCH($E24&amp;"|"&amp;$C24,'Đội hình'!$F$29:$F$40,0))&amp;"","")</f>
        <v/>
      </c>
      <c r="L24" s="55" t="n">
        <f aca="false">IF(OR($H24="",$G24=""),0,SUMPRODUCT(($G$6:$G$29=$G24)*(($H$6:$H$29=$H24)+($I$6:$I$29=$H24)+($J$6:$J$29=$H24)+($K$6:$K$29=$H24))))</f>
        <v>0</v>
      </c>
      <c r="M24" s="55" t="n">
        <f aca="false">IF(OR($I24="",$G24=""),0,SUMPRODUCT(($G$6:$G$29=$G24)*(($H$6:$H$29=$I24)+($I$6:$I$29=$I24)+($J$6:$J$29=$I24)+($K$6:$K$29=$I24))))</f>
        <v>0</v>
      </c>
      <c r="N24" s="55" t="n">
        <f aca="false">IF(OR($J24="",$G24=""),0,SUMPRODUCT(($G$6:$G$29=$G24)*(($H$6:$H$29=$J24)+($I$6:$I$29=$J24)+($J$6:$J$29=$J24)+($K$6:$K$29=$J24))))</f>
        <v>0</v>
      </c>
      <c r="O24" s="55" t="n">
        <f aca="false">IF(OR($K24="",$G24=""),0,SUMPRODUCT(($G$6:$G$29=$G24)*(($H$6:$H$29=$K24)+($I$6:$I$29=$K24)+($J$6:$J$29=$K24)+($K$6:$K$29=$K24))))</f>
        <v>0</v>
      </c>
      <c r="P24" s="56" t="str">
        <f aca="false">IF(OR($F24="",$G24=""),"",IF(SUMPRODUCT(($F$6:$F$29=$F24)*($G$6:$G$29=$G24))&gt;1,"⚠ Trùng sân  ","")&amp;IF(MAX($L24:$O24)&gt;1,"⚠ Trùng người",""))</f>
        <v/>
      </c>
    </row>
    <row r="25" customFormat="false" ht="15" hidden="false" customHeight="false" outlineLevel="0" collapsed="false">
      <c r="A25" s="12" t="n">
        <v>20</v>
      </c>
      <c r="B25" s="45" t="s">
        <v>163</v>
      </c>
      <c r="C25" s="46" t="str">
        <f aca="false">'Tranh hạng'!$A8</f>
        <v>Đôi nữ</v>
      </c>
      <c r="D25" s="46" t="str">
        <f aca="false">'Tranh hạng'!$B5</f>
        <v>Đội Đỏ</v>
      </c>
      <c r="E25" s="46" t="str">
        <f aca="false">'Tranh hạng'!$E5</f>
        <v>Đội Xanh</v>
      </c>
      <c r="F25" s="47"/>
      <c r="G25" s="47"/>
      <c r="H25" s="48" t="str">
        <f aca="false">IFERROR(INDEX('Đội hình'!$C$29:$C$40,MATCH($D25&amp;"|"&amp;$C25,'Đội hình'!$F$29:$F$40,0))&amp;"","")</f>
        <v/>
      </c>
      <c r="I25" s="48" t="str">
        <f aca="false">IFERROR(INDEX('Đội hình'!$D$29:$D$40,MATCH($D25&amp;"|"&amp;$C25,'Đội hình'!$F$29:$F$40,0))&amp;"","")</f>
        <v/>
      </c>
      <c r="J25" s="48" t="str">
        <f aca="false">IFERROR(INDEX('Đội hình'!$C$29:$C$40,MATCH($E25&amp;"|"&amp;$C25,'Đội hình'!$F$29:$F$40,0))&amp;"","")</f>
        <v/>
      </c>
      <c r="K25" s="48" t="str">
        <f aca="false">IFERROR(INDEX('Đội hình'!$D$29:$D$40,MATCH($E25&amp;"|"&amp;$C25,'Đội hình'!$F$29:$F$40,0))&amp;"","")</f>
        <v/>
      </c>
      <c r="L25" s="49" t="n">
        <f aca="false">IF(OR($H25="",$G25=""),0,SUMPRODUCT(($G$6:$G$29=$G25)*(($H$6:$H$29=$H25)+($I$6:$I$29=$H25)+($J$6:$J$29=$H25)+($K$6:$K$29=$H25))))</f>
        <v>0</v>
      </c>
      <c r="M25" s="49" t="n">
        <f aca="false">IF(OR($I25="",$G25=""),0,SUMPRODUCT(($G$6:$G$29=$G25)*(($H$6:$H$29=$I25)+($I$6:$I$29=$I25)+($J$6:$J$29=$I25)+($K$6:$K$29=$I25))))</f>
        <v>0</v>
      </c>
      <c r="N25" s="49" t="n">
        <f aca="false">IF(OR($J25="",$G25=""),0,SUMPRODUCT(($G$6:$G$29=$G25)*(($H$6:$H$29=$J25)+($I$6:$I$29=$J25)+($J$6:$J$29=$J25)+($K$6:$K$29=$J25))))</f>
        <v>0</v>
      </c>
      <c r="O25" s="49" t="n">
        <f aca="false">IF(OR($K25="",$G25=""),0,SUMPRODUCT(($G$6:$G$29=$G25)*(($H$6:$H$29=$K25)+($I$6:$I$29=$K25)+($J$6:$J$29=$K25)+($K$6:$K$29=$K25))))</f>
        <v>0</v>
      </c>
      <c r="P25" s="50" t="str">
        <f aca="false">IF(OR($F25="",$G25=""),"",IF(SUMPRODUCT(($F$6:$F$29=$F25)*($G$6:$G$29=$G25))&gt;1,"⚠ Trùng sân  ","")&amp;IF(MAX($L25:$O25)&gt;1,"⚠ Trùng người",""))</f>
        <v/>
      </c>
    </row>
    <row r="26" customFormat="false" ht="15" hidden="false" customHeight="false" outlineLevel="0" collapsed="false">
      <c r="A26" s="12" t="n">
        <v>21</v>
      </c>
      <c r="B26" s="45" t="s">
        <v>163</v>
      </c>
      <c r="C26" s="46" t="str">
        <f aca="false">'Tranh hạng'!$A9</f>
        <v>Đôi nam nữ</v>
      </c>
      <c r="D26" s="46" t="str">
        <f aca="false">'Tranh hạng'!$B5</f>
        <v>Đội Đỏ</v>
      </c>
      <c r="E26" s="46" t="str">
        <f aca="false">'Tranh hạng'!$E5</f>
        <v>Đội Xanh</v>
      </c>
      <c r="F26" s="47"/>
      <c r="G26" s="47"/>
      <c r="H26" s="48" t="str">
        <f aca="false">IFERROR(INDEX('Đội hình'!$C$29:$C$40,MATCH($D26&amp;"|"&amp;$C26,'Đội hình'!$F$29:$F$40,0))&amp;"","")</f>
        <v/>
      </c>
      <c r="I26" s="48" t="str">
        <f aca="false">IFERROR(INDEX('Đội hình'!$D$29:$D$40,MATCH($D26&amp;"|"&amp;$C26,'Đội hình'!$F$29:$F$40,0))&amp;"","")</f>
        <v/>
      </c>
      <c r="J26" s="48" t="str">
        <f aca="false">IFERROR(INDEX('Đội hình'!$C$29:$C$40,MATCH($E26&amp;"|"&amp;$C26,'Đội hình'!$F$29:$F$40,0))&amp;"","")</f>
        <v/>
      </c>
      <c r="K26" s="48" t="str">
        <f aca="false">IFERROR(INDEX('Đội hình'!$D$29:$D$40,MATCH($E26&amp;"|"&amp;$C26,'Đội hình'!$F$29:$F$40,0))&amp;"","")</f>
        <v/>
      </c>
      <c r="L26" s="49" t="n">
        <f aca="false">IF(OR($H26="",$G26=""),0,SUMPRODUCT(($G$6:$G$29=$G26)*(($H$6:$H$29=$H26)+($I$6:$I$29=$H26)+($J$6:$J$29=$H26)+($K$6:$K$29=$H26))))</f>
        <v>0</v>
      </c>
      <c r="M26" s="49" t="n">
        <f aca="false">IF(OR($I26="",$G26=""),0,SUMPRODUCT(($G$6:$G$29=$G26)*(($H$6:$H$29=$I26)+($I$6:$I$29=$I26)+($J$6:$J$29=$I26)+($K$6:$K$29=$I26))))</f>
        <v>0</v>
      </c>
      <c r="N26" s="49" t="n">
        <f aca="false">IF(OR($J26="",$G26=""),0,SUMPRODUCT(($G$6:$G$29=$G26)*(($H$6:$H$29=$J26)+($I$6:$I$29=$J26)+($J$6:$J$29=$J26)+($K$6:$K$29=$J26))))</f>
        <v>0</v>
      </c>
      <c r="O26" s="49" t="n">
        <f aca="false">IF(OR($K26="",$G26=""),0,SUMPRODUCT(($G$6:$G$29=$G26)*(($H$6:$H$29=$K26)+($I$6:$I$29=$K26)+($J$6:$J$29=$K26)+($K$6:$K$29=$K26))))</f>
        <v>0</v>
      </c>
      <c r="P26" s="50" t="str">
        <f aca="false">IF(OR($F26="",$G26=""),"",IF(SUMPRODUCT(($F$6:$F$29=$F26)*($G$6:$G$29=$G26))&gt;1,"⚠ Trùng sân  ","")&amp;IF(MAX($L26:$O26)&gt;1,"⚠ Trùng người",""))</f>
        <v/>
      </c>
    </row>
    <row r="27" customFormat="false" ht="15" hidden="false" customHeight="false" outlineLevel="0" collapsed="false">
      <c r="A27" s="12" t="n">
        <v>22</v>
      </c>
      <c r="B27" s="45" t="s">
        <v>164</v>
      </c>
      <c r="C27" s="46" t="str">
        <f aca="false">'Tranh hạng'!$A18</f>
        <v>Đôi nam nữ</v>
      </c>
      <c r="D27" s="46" t="str">
        <f aca="false">'Tranh hạng'!$B16</f>
        <v/>
      </c>
      <c r="E27" s="46" t="n">
        <f aca="false">'Tranh hạng'!$E16</f>
        <v>0</v>
      </c>
      <c r="F27" s="47"/>
      <c r="G27" s="47"/>
      <c r="H27" s="48" t="str">
        <f aca="false">IFERROR(INDEX('Đội hình'!$C$29:$C$40,MATCH($D27&amp;"|"&amp;$C27,'Đội hình'!$F$29:$F$40,0))&amp;"","")</f>
        <v/>
      </c>
      <c r="I27" s="48" t="str">
        <f aca="false">IFERROR(INDEX('Đội hình'!$D$29:$D$40,MATCH($D27&amp;"|"&amp;$C27,'Đội hình'!$F$29:$F$40,0))&amp;"","")</f>
        <v/>
      </c>
      <c r="J27" s="48" t="str">
        <f aca="false">IFERROR(INDEX('Đội hình'!$C$29:$C$40,MATCH($E27&amp;"|"&amp;$C27,'Đội hình'!$F$29:$F$40,0))&amp;"","")</f>
        <v/>
      </c>
      <c r="K27" s="48" t="str">
        <f aca="false">IFERROR(INDEX('Đội hình'!$D$29:$D$40,MATCH($E27&amp;"|"&amp;$C27,'Đội hình'!$F$29:$F$40,0))&amp;"","")</f>
        <v/>
      </c>
      <c r="L27" s="49" t="n">
        <f aca="false">IF(OR($H27="",$G27=""),0,SUMPRODUCT(($G$6:$G$29=$G27)*(($H$6:$H$29=$H27)+($I$6:$I$29=$H27)+($J$6:$J$29=$H27)+($K$6:$K$29=$H27))))</f>
        <v>0</v>
      </c>
      <c r="M27" s="49" t="n">
        <f aca="false">IF(OR($I27="",$G27=""),0,SUMPRODUCT(($G$6:$G$29=$G27)*(($H$6:$H$29=$I27)+($I$6:$I$29=$I27)+($J$6:$J$29=$I27)+($K$6:$K$29=$I27))))</f>
        <v>0</v>
      </c>
      <c r="N27" s="49" t="n">
        <f aca="false">IF(OR($J27="",$G27=""),0,SUMPRODUCT(($G$6:$G$29=$G27)*(($H$6:$H$29=$J27)+($I$6:$I$29=$J27)+($J$6:$J$29=$J27)+($K$6:$K$29=$J27))))</f>
        <v>0</v>
      </c>
      <c r="O27" s="49" t="n">
        <f aca="false">IF(OR($K27="",$G27=""),0,SUMPRODUCT(($G$6:$G$29=$G27)*(($H$6:$H$29=$K27)+($I$6:$I$29=$K27)+($J$6:$J$29=$K27)+($K$6:$K$29=$K27))))</f>
        <v>0</v>
      </c>
      <c r="P27" s="50" t="str">
        <f aca="false">IF(OR($F27="",$G27=""),"",IF(SUMPRODUCT(($F$6:$F$29=$F27)*($G$6:$G$29=$G27))&gt;1,"⚠ Trùng sân  ","")&amp;IF(MAX($L27:$O27)&gt;1,"⚠ Trùng người",""))</f>
        <v/>
      </c>
    </row>
    <row r="28" customFormat="false" ht="15" hidden="false" customHeight="false" outlineLevel="0" collapsed="false">
      <c r="A28" s="12" t="n">
        <v>23</v>
      </c>
      <c r="B28" s="45" t="s">
        <v>164</v>
      </c>
      <c r="C28" s="46" t="str">
        <f aca="false">'Tranh hạng'!$A19</f>
        <v>→ GIẢI BA</v>
      </c>
      <c r="D28" s="46" t="str">
        <f aca="false">'Tranh hạng'!$B16</f>
        <v/>
      </c>
      <c r="E28" s="46" t="n">
        <f aca="false">'Tranh hạng'!$E16</f>
        <v>0</v>
      </c>
      <c r="F28" s="47"/>
      <c r="G28" s="47"/>
      <c r="H28" s="48" t="str">
        <f aca="false">IFERROR(INDEX('Đội hình'!$C$29:$C$40,MATCH($D28&amp;"|"&amp;$C28,'Đội hình'!$F$29:$F$40,0))&amp;"","")</f>
        <v/>
      </c>
      <c r="I28" s="48" t="str">
        <f aca="false">IFERROR(INDEX('Đội hình'!$D$29:$D$40,MATCH($D28&amp;"|"&amp;$C28,'Đội hình'!$F$29:$F$40,0))&amp;"","")</f>
        <v/>
      </c>
      <c r="J28" s="48" t="str">
        <f aca="false">IFERROR(INDEX('Đội hình'!$C$29:$C$40,MATCH($E28&amp;"|"&amp;$C28,'Đội hình'!$F$29:$F$40,0))&amp;"","")</f>
        <v/>
      </c>
      <c r="K28" s="48" t="str">
        <f aca="false">IFERROR(INDEX('Đội hình'!$D$29:$D$40,MATCH($E28&amp;"|"&amp;$C28,'Đội hình'!$F$29:$F$40,0))&amp;"","")</f>
        <v/>
      </c>
      <c r="L28" s="49" t="n">
        <f aca="false">IF(OR($H28="",$G28=""),0,SUMPRODUCT(($G$6:$G$29=$G28)*(($H$6:$H$29=$H28)+($I$6:$I$29=$H28)+($J$6:$J$29=$H28)+($K$6:$K$29=$H28))))</f>
        <v>0</v>
      </c>
      <c r="M28" s="49" t="n">
        <f aca="false">IF(OR($I28="",$G28=""),0,SUMPRODUCT(($G$6:$G$29=$G28)*(($H$6:$H$29=$I28)+($I$6:$I$29=$I28)+($J$6:$J$29=$I28)+($K$6:$K$29=$I28))))</f>
        <v>0</v>
      </c>
      <c r="N28" s="49" t="n">
        <f aca="false">IF(OR($J28="",$G28=""),0,SUMPRODUCT(($G$6:$G$29=$G28)*(($H$6:$H$29=$J28)+($I$6:$I$29=$J28)+($J$6:$J$29=$J28)+($K$6:$K$29=$J28))))</f>
        <v>0</v>
      </c>
      <c r="O28" s="49" t="n">
        <f aca="false">IF(OR($K28="",$G28=""),0,SUMPRODUCT(($G$6:$G$29=$G28)*(($H$6:$H$29=$K28)+($I$6:$I$29=$K28)+($J$6:$J$29=$K28)+($K$6:$K$29=$K28))))</f>
        <v>0</v>
      </c>
      <c r="P28" s="50" t="str">
        <f aca="false">IF(OR($F28="",$G28=""),"",IF(SUMPRODUCT(($F$6:$F$29=$F28)*($G$6:$G$29=$G28))&gt;1,"⚠ Trùng sân  ","")&amp;IF(MAX($L28:$O28)&gt;1,"⚠ Trùng người",""))</f>
        <v/>
      </c>
    </row>
    <row r="29" customFormat="false" ht="15" hidden="false" customHeight="false" outlineLevel="0" collapsed="false">
      <c r="A29" s="12" t="n">
        <v>24</v>
      </c>
      <c r="B29" s="45" t="s">
        <v>164</v>
      </c>
      <c r="C29" s="46" t="str">
        <f aca="false">'Tranh hạng'!$A20</f>
        <v>→ GIẢI KHUYẾN KHÍCH</v>
      </c>
      <c r="D29" s="46" t="str">
        <f aca="false">'Tranh hạng'!$B16</f>
        <v/>
      </c>
      <c r="E29" s="46" t="n">
        <f aca="false">'Tranh hạng'!$E16</f>
        <v>0</v>
      </c>
      <c r="F29" s="47"/>
      <c r="G29" s="47"/>
      <c r="H29" s="48" t="str">
        <f aca="false">IFERROR(INDEX('Đội hình'!$C$29:$C$40,MATCH($D29&amp;"|"&amp;$C29,'Đội hình'!$F$29:$F$40,0))&amp;"","")</f>
        <v/>
      </c>
      <c r="I29" s="48" t="str">
        <f aca="false">IFERROR(INDEX('Đội hình'!$D$29:$D$40,MATCH($D29&amp;"|"&amp;$C29,'Đội hình'!$F$29:$F$40,0))&amp;"","")</f>
        <v/>
      </c>
      <c r="J29" s="48" t="str">
        <f aca="false">IFERROR(INDEX('Đội hình'!$C$29:$C$40,MATCH($E29&amp;"|"&amp;$C29,'Đội hình'!$F$29:$F$40,0))&amp;"","")</f>
        <v/>
      </c>
      <c r="K29" s="48" t="str">
        <f aca="false">IFERROR(INDEX('Đội hình'!$D$29:$D$40,MATCH($E29&amp;"|"&amp;$C29,'Đội hình'!$F$29:$F$40,0))&amp;"","")</f>
        <v/>
      </c>
      <c r="L29" s="49" t="n">
        <f aca="false">IF(OR($H29="",$G29=""),0,SUMPRODUCT(($G$6:$G$29=$G29)*(($H$6:$H$29=$H29)+($I$6:$I$29=$H29)+($J$6:$J$29=$H29)+($K$6:$K$29=$H29))))</f>
        <v>0</v>
      </c>
      <c r="M29" s="49" t="n">
        <f aca="false">IF(OR($I29="",$G29=""),0,SUMPRODUCT(($G$6:$G$29=$G29)*(($H$6:$H$29=$I29)+($I$6:$I$29=$I29)+($J$6:$J$29=$I29)+($K$6:$K$29=$I29))))</f>
        <v>0</v>
      </c>
      <c r="N29" s="49" t="n">
        <f aca="false">IF(OR($J29="",$G29=""),0,SUMPRODUCT(($G$6:$G$29=$G29)*(($H$6:$H$29=$J29)+($I$6:$I$29=$J29)+($J$6:$J$29=$J29)+($K$6:$K$29=$J29))))</f>
        <v>0</v>
      </c>
      <c r="O29" s="49" t="n">
        <f aca="false">IF(OR($K29="",$G29=""),0,SUMPRODUCT(($G$6:$G$29=$G29)*(($H$6:$H$29=$K29)+($I$6:$I$29=$K29)+($J$6:$J$29=$K29)+($K$6:$K$29=$K29))))</f>
        <v>0</v>
      </c>
      <c r="P29" s="50" t="str">
        <f aca="false">IF(OR($F29="",$G29=""),"",IF(SUMPRODUCT(($F$6:$F$29=$F29)*($G$6:$G$29=$G29))&gt;1,"⚠ Trùng sân  ","")&amp;IF(MAX($L29:$O29)&gt;1,"⚠ Trùng người",""))</f>
        <v/>
      </c>
    </row>
    <row r="31" customFormat="false" ht="39.75" hidden="false" customHeight="true" outlineLevel="0" collapsed="false">
      <c r="A31" s="40" t="s">
        <v>165</v>
      </c>
      <c r="B31" s="40"/>
      <c r="C31" s="40"/>
      <c r="D31" s="40"/>
      <c r="E31" s="40"/>
      <c r="F31" s="40"/>
      <c r="G31" s="40"/>
      <c r="H31" s="40"/>
      <c r="I31" s="40"/>
      <c r="J31" s="40"/>
      <c r="K31" s="40"/>
      <c r="L31" s="40"/>
      <c r="M31" s="40"/>
      <c r="N31" s="40"/>
      <c r="O31" s="40"/>
      <c r="P31" s="40"/>
    </row>
  </sheetData>
  <mergeCells count="3">
    <mergeCell ref="A1:P1"/>
    <mergeCell ref="A2:P2"/>
    <mergeCell ref="A31:P31"/>
  </mergeCells>
  <conditionalFormatting sqref="P6:P29">
    <cfRule type="expression" priority="2" aboveAverage="0" equalAverage="0" bottom="0" percent="0" rank="0" text="" dxfId="3">
      <formula>LEN($P6)&gt;0</formula>
    </cfRule>
  </conditionalFormatting>
  <dataValidations count="1">
    <dataValidation allowBlank="true" errorStyle="stop" operator="between" showDropDown="false" showErrorMessage="false" showInputMessage="false" sqref="F6:F29" type="list">
      <formula1>"Sân 1,Sân 2,Sân 3,Sân 4,Sân 5,Sân 6"</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2"/>
    <col collapsed="false" customWidth="true" hidden="false" outlineLevel="0" max="3" min="3" style="0" width="16"/>
    <col collapsed="false" customWidth="true" hidden="false" outlineLevel="0" max="4" min="4" style="0" width="18"/>
    <col collapsed="false" customWidth="true" hidden="false" outlineLevel="0" max="5" min="5" style="0" width="42"/>
  </cols>
  <sheetData>
    <row r="1" customFormat="false" ht="30" hidden="false" customHeight="true" outlineLevel="0" collapsed="false">
      <c r="A1" s="1" t="s">
        <v>166</v>
      </c>
      <c r="B1" s="1"/>
      <c r="C1" s="1"/>
      <c r="D1" s="1"/>
      <c r="E1" s="1"/>
    </row>
    <row r="2" customFormat="false" ht="16.5" hidden="false" customHeight="true" outlineLevel="0" collapsed="false">
      <c r="A2" s="2" t="s">
        <v>167</v>
      </c>
      <c r="B2" s="2"/>
      <c r="C2" s="2"/>
      <c r="D2" s="2"/>
      <c r="E2" s="2"/>
    </row>
    <row r="4" customFormat="false" ht="21.75" hidden="false" customHeight="true" outlineLevel="0" collapsed="false">
      <c r="A4" s="3" t="s">
        <v>168</v>
      </c>
      <c r="B4" s="3"/>
      <c r="C4" s="3"/>
      <c r="D4" s="3"/>
      <c r="E4" s="3"/>
    </row>
    <row r="5" customFormat="false" ht="30" hidden="false" customHeight="true" outlineLevel="0" collapsed="false">
      <c r="A5" s="11" t="s">
        <v>169</v>
      </c>
      <c r="B5" s="11" t="s">
        <v>170</v>
      </c>
      <c r="C5" s="11" t="s">
        <v>171</v>
      </c>
      <c r="D5" s="11" t="s">
        <v>172</v>
      </c>
      <c r="E5" s="11" t="s">
        <v>78</v>
      </c>
    </row>
    <row r="6" customFormat="false" ht="15" hidden="false" customHeight="false" outlineLevel="0" collapsed="false">
      <c r="A6" s="22" t="s">
        <v>173</v>
      </c>
      <c r="B6" s="36" t="n">
        <f aca="false">COUNTIF(VĐV!$F$8:$F$47,"Rồi")</f>
        <v>1</v>
      </c>
      <c r="C6" s="57" t="n">
        <v>0</v>
      </c>
      <c r="D6" s="58" t="n">
        <f aca="false">$B6*$C6</f>
        <v>0</v>
      </c>
      <c r="E6" s="59" t="s">
        <v>174</v>
      </c>
    </row>
    <row r="7" customFormat="false" ht="15" hidden="false" customHeight="false" outlineLevel="0" collapsed="false">
      <c r="A7" s="22" t="s">
        <v>175</v>
      </c>
      <c r="B7" s="38" t="n">
        <v>1</v>
      </c>
      <c r="C7" s="60" t="n">
        <f aca="false">'Tài trợ'!$C$5</f>
        <v>0</v>
      </c>
      <c r="D7" s="58" t="n">
        <f aca="false">$B7*$C7</f>
        <v>0</v>
      </c>
      <c r="E7" s="59" t="s">
        <v>176</v>
      </c>
    </row>
    <row r="8" customFormat="false" ht="15" hidden="false" customHeight="false" outlineLevel="0" collapsed="false">
      <c r="A8" s="22" t="s">
        <v>177</v>
      </c>
      <c r="B8" s="38" t="n">
        <v>1</v>
      </c>
      <c r="C8" s="57" t="n">
        <v>1000000</v>
      </c>
      <c r="D8" s="58" t="n">
        <f aca="false">$B8*$C8</f>
        <v>1000000</v>
      </c>
      <c r="E8" s="59" t="s">
        <v>178</v>
      </c>
    </row>
    <row r="9" customFormat="false" ht="15" hidden="false" customHeight="false" outlineLevel="0" collapsed="false">
      <c r="A9" s="22" t="s">
        <v>179</v>
      </c>
      <c r="B9" s="38" t="n">
        <v>1</v>
      </c>
      <c r="C9" s="57" t="n">
        <v>0</v>
      </c>
      <c r="D9" s="58" t="n">
        <f aca="false">$B9*$C9</f>
        <v>0</v>
      </c>
      <c r="E9" s="59" t="s">
        <v>180</v>
      </c>
    </row>
    <row r="10" customFormat="false" ht="15" hidden="false" customHeight="false" outlineLevel="0" collapsed="false">
      <c r="A10" s="22" t="s">
        <v>181</v>
      </c>
      <c r="B10" s="38" t="n">
        <v>0</v>
      </c>
      <c r="C10" s="57" t="n">
        <v>0</v>
      </c>
      <c r="D10" s="58" t="n">
        <f aca="false">$B10*$C10</f>
        <v>0</v>
      </c>
      <c r="E10" s="59"/>
    </row>
    <row r="11" customFormat="false" ht="15" hidden="false" customHeight="false" outlineLevel="0" collapsed="false">
      <c r="A11" s="61" t="s">
        <v>182</v>
      </c>
      <c r="B11" s="61"/>
      <c r="C11" s="61"/>
      <c r="D11" s="62" t="n">
        <f aca="false">SUM($D$6:$D$10)</f>
        <v>1000000</v>
      </c>
      <c r="E11" s="61"/>
    </row>
    <row r="13" customFormat="false" ht="21.75" hidden="false" customHeight="true" outlineLevel="0" collapsed="false">
      <c r="A13" s="3" t="s">
        <v>183</v>
      </c>
      <c r="B13" s="3"/>
      <c r="C13" s="3"/>
      <c r="D13" s="3"/>
      <c r="E13" s="3"/>
    </row>
    <row r="14" customFormat="false" ht="30" hidden="false" customHeight="true" outlineLevel="0" collapsed="false">
      <c r="A14" s="11" t="s">
        <v>184</v>
      </c>
      <c r="B14" s="11" t="s">
        <v>170</v>
      </c>
      <c r="C14" s="11" t="s">
        <v>171</v>
      </c>
      <c r="D14" s="11" t="s">
        <v>172</v>
      </c>
      <c r="E14" s="11" t="s">
        <v>78</v>
      </c>
    </row>
    <row r="15" customFormat="false" ht="15" hidden="false" customHeight="false" outlineLevel="0" collapsed="false">
      <c r="A15" s="22" t="s">
        <v>185</v>
      </c>
      <c r="B15" s="38" t="n">
        <v>0</v>
      </c>
      <c r="C15" s="57" t="n">
        <v>0</v>
      </c>
      <c r="D15" s="58" t="n">
        <f aca="false">$B15*$C15</f>
        <v>0</v>
      </c>
      <c r="E15" s="59" t="s">
        <v>186</v>
      </c>
    </row>
    <row r="16" customFormat="false" ht="15" hidden="false" customHeight="false" outlineLevel="0" collapsed="false">
      <c r="A16" s="22" t="s">
        <v>187</v>
      </c>
      <c r="B16" s="38" t="n">
        <v>0</v>
      </c>
      <c r="C16" s="57" t="n">
        <v>0</v>
      </c>
      <c r="D16" s="58" t="n">
        <f aca="false">$B16*$C16</f>
        <v>0</v>
      </c>
      <c r="E16" s="59" t="s">
        <v>188</v>
      </c>
    </row>
    <row r="17" customFormat="false" ht="15" hidden="false" customHeight="false" outlineLevel="0" collapsed="false">
      <c r="A17" s="22" t="s">
        <v>189</v>
      </c>
      <c r="B17" s="38" t="n">
        <v>0</v>
      </c>
      <c r="C17" s="57" t="n">
        <v>0</v>
      </c>
      <c r="D17" s="58" t="n">
        <f aca="false">$B17*$C17</f>
        <v>0</v>
      </c>
      <c r="E17" s="59" t="s">
        <v>190</v>
      </c>
    </row>
    <row r="18" customFormat="false" ht="15" hidden="false" customHeight="false" outlineLevel="0" collapsed="false">
      <c r="A18" s="22" t="s">
        <v>191</v>
      </c>
      <c r="B18" s="38" t="n">
        <v>0</v>
      </c>
      <c r="C18" s="57" t="n">
        <v>0</v>
      </c>
      <c r="D18" s="58" t="n">
        <f aca="false">$B18*$C18</f>
        <v>0</v>
      </c>
      <c r="E18" s="59"/>
    </row>
    <row r="19" customFormat="false" ht="15" hidden="false" customHeight="false" outlineLevel="0" collapsed="false">
      <c r="A19" s="22" t="s">
        <v>192</v>
      </c>
      <c r="B19" s="38" t="n">
        <v>0</v>
      </c>
      <c r="C19" s="57" t="n">
        <v>0</v>
      </c>
      <c r="D19" s="58" t="n">
        <f aca="false">$B19*$C19</f>
        <v>0</v>
      </c>
      <c r="E19" s="59"/>
    </row>
    <row r="20" customFormat="false" ht="15" hidden="false" customHeight="false" outlineLevel="0" collapsed="false">
      <c r="A20" s="22" t="s">
        <v>193</v>
      </c>
      <c r="B20" s="38" t="n">
        <v>0</v>
      </c>
      <c r="C20" s="57" t="n">
        <v>0</v>
      </c>
      <c r="D20" s="58" t="n">
        <f aca="false">$B20*$C20</f>
        <v>0</v>
      </c>
      <c r="E20" s="59" t="s">
        <v>194</v>
      </c>
    </row>
    <row r="21" customFormat="false" ht="15" hidden="false" customHeight="false" outlineLevel="0" collapsed="false">
      <c r="A21" s="22" t="s">
        <v>195</v>
      </c>
      <c r="B21" s="38" t="n">
        <v>0</v>
      </c>
      <c r="C21" s="57" t="n">
        <v>0</v>
      </c>
      <c r="D21" s="58" t="n">
        <f aca="false">$B21*$C21</f>
        <v>0</v>
      </c>
      <c r="E21" s="59"/>
    </row>
    <row r="22" customFormat="false" ht="15" hidden="false" customHeight="false" outlineLevel="0" collapsed="false">
      <c r="A22" s="22" t="s">
        <v>196</v>
      </c>
      <c r="B22" s="38" t="n">
        <v>0</v>
      </c>
      <c r="C22" s="57" t="n">
        <v>0</v>
      </c>
      <c r="D22" s="58" t="n">
        <f aca="false">$B22*$C22</f>
        <v>0</v>
      </c>
      <c r="E22" s="59"/>
    </row>
    <row r="23" customFormat="false" ht="15" hidden="false" customHeight="false" outlineLevel="0" collapsed="false">
      <c r="A23" s="61" t="s">
        <v>197</v>
      </c>
      <c r="B23" s="61"/>
      <c r="C23" s="61"/>
      <c r="D23" s="62" t="n">
        <f aca="false">SUM($D$15:$D$22)</f>
        <v>0</v>
      </c>
      <c r="E23" s="61"/>
    </row>
    <row r="25" customFormat="false" ht="21.75" hidden="false" customHeight="true" outlineLevel="0" collapsed="false">
      <c r="A25" s="3" t="s">
        <v>198</v>
      </c>
      <c r="B25" s="3"/>
      <c r="C25" s="3"/>
      <c r="D25" s="3"/>
      <c r="E25" s="3"/>
    </row>
    <row r="26" customFormat="false" ht="15" hidden="false" customHeight="false" outlineLevel="0" collapsed="false">
      <c r="A26" s="4" t="s">
        <v>199</v>
      </c>
      <c r="D26" s="63" t="n">
        <f aca="false">$D$11</f>
        <v>1000000</v>
      </c>
    </row>
    <row r="27" customFormat="false" ht="15" hidden="false" customHeight="false" outlineLevel="0" collapsed="false">
      <c r="A27" s="4" t="s">
        <v>200</v>
      </c>
      <c r="D27" s="63" t="n">
        <f aca="false">$D$23</f>
        <v>0</v>
      </c>
    </row>
    <row r="28" customFormat="false" ht="15" hidden="false" customHeight="false" outlineLevel="0" collapsed="false">
      <c r="A28" s="4" t="s">
        <v>201</v>
      </c>
      <c r="D28" s="64" t="n">
        <f aca="false">$D$11-$D$23</f>
        <v>1000000</v>
      </c>
    </row>
    <row r="29" customFormat="false" ht="15" hidden="false" customHeight="false" outlineLevel="0" collapsed="false">
      <c r="A29" s="4" t="s">
        <v>202</v>
      </c>
      <c r="D29" s="63" t="n">
        <f aca="false">IF($D$28&gt;=0,0,ROUNDUP(-$D$28/MAX(1,COUNTA(VĐV!$B$8:$B$47))/1000,0)*1000)</f>
        <v>0</v>
      </c>
      <c r="E29" s="65" t="s">
        <v>203</v>
      </c>
    </row>
  </sheetData>
  <mergeCells count="5">
    <mergeCell ref="A1:E1"/>
    <mergeCell ref="A2:E2"/>
    <mergeCell ref="A4:E4"/>
    <mergeCell ref="A13:E13"/>
    <mergeCell ref="A25:E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1" topLeftCell="A1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0"/>
    <col collapsed="false" customWidth="true" hidden="false" outlineLevel="0" max="3" min="3" style="0" width="18"/>
    <col collapsed="false" customWidth="true" hidden="false" outlineLevel="0" max="4" min="4" style="0" width="16"/>
    <col collapsed="false" customWidth="true" hidden="false" outlineLevel="0" max="5" min="5" style="0" width="34"/>
  </cols>
  <sheetData>
    <row r="1" customFormat="false" ht="30" hidden="false" customHeight="true" outlineLevel="0" collapsed="false">
      <c r="A1" s="1" t="s">
        <v>204</v>
      </c>
      <c r="B1" s="1"/>
      <c r="C1" s="1"/>
      <c r="D1" s="1"/>
      <c r="E1" s="1"/>
    </row>
    <row r="2" customFormat="false" ht="16.5" hidden="false" customHeight="true" outlineLevel="0" collapsed="false">
      <c r="A2" s="2" t="s">
        <v>205</v>
      </c>
      <c r="B2" s="2"/>
      <c r="C2" s="2"/>
      <c r="D2" s="2"/>
      <c r="E2" s="2"/>
    </row>
    <row r="4" customFormat="false" ht="21.75" hidden="false" customHeight="true" outlineLevel="0" collapsed="false">
      <c r="A4" s="3" t="s">
        <v>206</v>
      </c>
      <c r="B4" s="3"/>
      <c r="C4" s="3"/>
      <c r="D4" s="3"/>
      <c r="E4" s="3"/>
    </row>
    <row r="5" customFormat="false" ht="15" hidden="false" customHeight="false" outlineLevel="0" collapsed="false">
      <c r="A5" s="4" t="s">
        <v>207</v>
      </c>
      <c r="B5" s="4"/>
      <c r="C5" s="66" t="n">
        <f aca="false">SUM($C$12:$C$31)</f>
        <v>0</v>
      </c>
    </row>
    <row r="6" customFormat="false" ht="15" hidden="false" customHeight="false" outlineLevel="0" collapsed="false">
      <c r="A6" s="4" t="s">
        <v>208</v>
      </c>
      <c r="B6" s="4"/>
      <c r="C6" s="67" t="n">
        <f aca="false">COUNT($C$12:$C$31)</f>
        <v>0</v>
      </c>
    </row>
    <row r="7" customFormat="false" ht="15" hidden="false" customHeight="false" outlineLevel="0" collapsed="false">
      <c r="A7" s="4" t="s">
        <v>209</v>
      </c>
      <c r="B7" s="4"/>
      <c r="C7" s="68" t="str">
        <f aca="false">IF(COUNT($C$12:$C$31)=0,"— chưa có",INDEX($B$12:$B$31,MATCH(MAX($C$12:$C$31),$C$12:$C$31,0)))</f>
        <v>— chưa có</v>
      </c>
    </row>
    <row r="8" customFormat="false" ht="15" hidden="false" customHeight="false" outlineLevel="0" collapsed="false">
      <c r="A8" s="4" t="s">
        <v>210</v>
      </c>
      <c r="B8" s="4"/>
      <c r="C8" s="68" t="str">
        <f aca="false">IFERROR(INDEX($B$12:$B$31,MATCH(LARGE($C$12:$C$31,2),$C$12:$C$31,0)),"— chưa có")</f>
        <v>— chưa có</v>
      </c>
    </row>
    <row r="10" customFormat="false" ht="21.75" hidden="false" customHeight="true" outlineLevel="0" collapsed="false">
      <c r="A10" s="3" t="s">
        <v>211</v>
      </c>
      <c r="B10" s="3"/>
      <c r="C10" s="3"/>
      <c r="D10" s="3"/>
      <c r="E10" s="3"/>
    </row>
    <row r="11" customFormat="false" ht="30" hidden="false" customHeight="true" outlineLevel="0" collapsed="false">
      <c r="A11" s="11" t="s">
        <v>73</v>
      </c>
      <c r="B11" s="11" t="s">
        <v>212</v>
      </c>
      <c r="C11" s="11" t="s">
        <v>213</v>
      </c>
      <c r="D11" s="11" t="s">
        <v>214</v>
      </c>
      <c r="E11" s="11" t="s">
        <v>78</v>
      </c>
    </row>
    <row r="12" customFormat="false" ht="15" hidden="false" customHeight="false" outlineLevel="0" collapsed="false">
      <c r="A12" s="34" t="str">
        <f aca="false">IF($B12="","",ROW()-11)</f>
        <v/>
      </c>
      <c r="B12" s="17"/>
      <c r="C12" s="69"/>
      <c r="D12" s="70" t="str">
        <f aca="false">IF($C12="","",IF($C12=MAX($C$12:$C$31),"Kim cương",IF($C12=IFERROR(LARGE($C$12:$C$31,2),-1),"Vàng","Thân thiện")))</f>
        <v/>
      </c>
      <c r="E12" s="71"/>
    </row>
    <row r="13" customFormat="false" ht="15" hidden="false" customHeight="false" outlineLevel="0" collapsed="false">
      <c r="A13" s="34" t="str">
        <f aca="false">IF($B13="","",ROW()-11)</f>
        <v/>
      </c>
      <c r="B13" s="17"/>
      <c r="C13" s="69"/>
      <c r="D13" s="70" t="str">
        <f aca="false">IF($C13="","",IF($C13=MAX($C$12:$C$31),"Kim cương",IF($C13=IFERROR(LARGE($C$12:$C$31,2),-1),"Vàng","Thân thiện")))</f>
        <v/>
      </c>
      <c r="E13" s="71"/>
    </row>
    <row r="14" customFormat="false" ht="15" hidden="false" customHeight="false" outlineLevel="0" collapsed="false">
      <c r="A14" s="34" t="str">
        <f aca="false">IF($B14="","",ROW()-11)</f>
        <v/>
      </c>
      <c r="B14" s="17"/>
      <c r="C14" s="69"/>
      <c r="D14" s="70" t="str">
        <f aca="false">IF($C14="","",IF($C14=MAX($C$12:$C$31),"Kim cương",IF($C14=IFERROR(LARGE($C$12:$C$31,2),-1),"Vàng","Thân thiện")))</f>
        <v/>
      </c>
      <c r="E14" s="71"/>
    </row>
    <row r="15" customFormat="false" ht="15" hidden="false" customHeight="false" outlineLevel="0" collapsed="false">
      <c r="A15" s="34" t="str">
        <f aca="false">IF($B15="","",ROW()-11)</f>
        <v/>
      </c>
      <c r="B15" s="17"/>
      <c r="C15" s="69"/>
      <c r="D15" s="70" t="str">
        <f aca="false">IF($C15="","",IF($C15=MAX($C$12:$C$31),"Kim cương",IF($C15=IFERROR(LARGE($C$12:$C$31,2),-1),"Vàng","Thân thiện")))</f>
        <v/>
      </c>
      <c r="E15" s="71"/>
    </row>
    <row r="16" customFormat="false" ht="15" hidden="false" customHeight="false" outlineLevel="0" collapsed="false">
      <c r="A16" s="34" t="str">
        <f aca="false">IF($B16="","",ROW()-11)</f>
        <v/>
      </c>
      <c r="B16" s="17"/>
      <c r="C16" s="69"/>
      <c r="D16" s="70" t="str">
        <f aca="false">IF($C16="","",IF($C16=MAX($C$12:$C$31),"Kim cương",IF($C16=IFERROR(LARGE($C$12:$C$31,2),-1),"Vàng","Thân thiện")))</f>
        <v/>
      </c>
      <c r="E16" s="71"/>
    </row>
    <row r="17" customFormat="false" ht="15" hidden="false" customHeight="false" outlineLevel="0" collapsed="false">
      <c r="A17" s="34" t="str">
        <f aca="false">IF($B17="","",ROW()-11)</f>
        <v/>
      </c>
      <c r="B17" s="17"/>
      <c r="C17" s="69"/>
      <c r="D17" s="70" t="str">
        <f aca="false">IF($C17="","",IF($C17=MAX($C$12:$C$31),"Kim cương",IF($C17=IFERROR(LARGE($C$12:$C$31,2),-1),"Vàng","Thân thiện")))</f>
        <v/>
      </c>
      <c r="E17" s="71"/>
    </row>
    <row r="18" customFormat="false" ht="15" hidden="false" customHeight="false" outlineLevel="0" collapsed="false">
      <c r="A18" s="34" t="str">
        <f aca="false">IF($B18="","",ROW()-11)</f>
        <v/>
      </c>
      <c r="B18" s="17"/>
      <c r="C18" s="69"/>
      <c r="D18" s="70" t="str">
        <f aca="false">IF($C18="","",IF($C18=MAX($C$12:$C$31),"Kim cương",IF($C18=IFERROR(LARGE($C$12:$C$31,2),-1),"Vàng","Thân thiện")))</f>
        <v/>
      </c>
      <c r="E18" s="71"/>
    </row>
    <row r="19" customFormat="false" ht="15" hidden="false" customHeight="false" outlineLevel="0" collapsed="false">
      <c r="A19" s="34" t="str">
        <f aca="false">IF($B19="","",ROW()-11)</f>
        <v/>
      </c>
      <c r="B19" s="17"/>
      <c r="C19" s="69"/>
      <c r="D19" s="70" t="str">
        <f aca="false">IF($C19="","",IF($C19=MAX($C$12:$C$31),"Kim cương",IF($C19=IFERROR(LARGE($C$12:$C$31,2),-1),"Vàng","Thân thiện")))</f>
        <v/>
      </c>
      <c r="E19" s="71"/>
    </row>
    <row r="20" customFormat="false" ht="15" hidden="false" customHeight="false" outlineLevel="0" collapsed="false">
      <c r="A20" s="34" t="str">
        <f aca="false">IF($B20="","",ROW()-11)</f>
        <v/>
      </c>
      <c r="B20" s="17"/>
      <c r="C20" s="69"/>
      <c r="D20" s="70" t="str">
        <f aca="false">IF($C20="","",IF($C20=MAX($C$12:$C$31),"Kim cương",IF($C20=IFERROR(LARGE($C$12:$C$31,2),-1),"Vàng","Thân thiện")))</f>
        <v/>
      </c>
      <c r="E20" s="71"/>
    </row>
    <row r="21" customFormat="false" ht="15" hidden="false" customHeight="false" outlineLevel="0" collapsed="false">
      <c r="A21" s="34" t="str">
        <f aca="false">IF($B21="","",ROW()-11)</f>
        <v/>
      </c>
      <c r="B21" s="17"/>
      <c r="C21" s="69"/>
      <c r="D21" s="70" t="str">
        <f aca="false">IF($C21="","",IF($C21=MAX($C$12:$C$31),"Kim cương",IF($C21=IFERROR(LARGE($C$12:$C$31,2),-1),"Vàng","Thân thiện")))</f>
        <v/>
      </c>
      <c r="E21" s="71"/>
    </row>
    <row r="22" customFormat="false" ht="15" hidden="false" customHeight="false" outlineLevel="0" collapsed="false">
      <c r="A22" s="34" t="str">
        <f aca="false">IF($B22="","",ROW()-11)</f>
        <v/>
      </c>
      <c r="B22" s="17"/>
      <c r="C22" s="69"/>
      <c r="D22" s="70" t="str">
        <f aca="false">IF($C22="","",IF($C22=MAX($C$12:$C$31),"Kim cương",IF($C22=IFERROR(LARGE($C$12:$C$31,2),-1),"Vàng","Thân thiện")))</f>
        <v/>
      </c>
      <c r="E22" s="71"/>
    </row>
    <row r="23" customFormat="false" ht="15" hidden="false" customHeight="false" outlineLevel="0" collapsed="false">
      <c r="A23" s="34" t="str">
        <f aca="false">IF($B23="","",ROW()-11)</f>
        <v/>
      </c>
      <c r="B23" s="17"/>
      <c r="C23" s="69"/>
      <c r="D23" s="70" t="str">
        <f aca="false">IF($C23="","",IF($C23=MAX($C$12:$C$31),"Kim cương",IF($C23=IFERROR(LARGE($C$12:$C$31,2),-1),"Vàng","Thân thiện")))</f>
        <v/>
      </c>
      <c r="E23" s="71"/>
    </row>
    <row r="24" customFormat="false" ht="15" hidden="false" customHeight="false" outlineLevel="0" collapsed="false">
      <c r="A24" s="34" t="str">
        <f aca="false">IF($B24="","",ROW()-11)</f>
        <v/>
      </c>
      <c r="B24" s="17"/>
      <c r="C24" s="69"/>
      <c r="D24" s="70" t="str">
        <f aca="false">IF($C24="","",IF($C24=MAX($C$12:$C$31),"Kim cương",IF($C24=IFERROR(LARGE($C$12:$C$31,2),-1),"Vàng","Thân thiện")))</f>
        <v/>
      </c>
      <c r="E24" s="71"/>
    </row>
    <row r="25" customFormat="false" ht="15" hidden="false" customHeight="false" outlineLevel="0" collapsed="false">
      <c r="A25" s="34" t="str">
        <f aca="false">IF($B25="","",ROW()-11)</f>
        <v/>
      </c>
      <c r="B25" s="17"/>
      <c r="C25" s="69"/>
      <c r="D25" s="70" t="str">
        <f aca="false">IF($C25="","",IF($C25=MAX($C$12:$C$31),"Kim cương",IF($C25=IFERROR(LARGE($C$12:$C$31,2),-1),"Vàng","Thân thiện")))</f>
        <v/>
      </c>
      <c r="E25" s="71"/>
    </row>
    <row r="26" customFormat="false" ht="15" hidden="false" customHeight="false" outlineLevel="0" collapsed="false">
      <c r="A26" s="34" t="str">
        <f aca="false">IF($B26="","",ROW()-11)</f>
        <v/>
      </c>
      <c r="B26" s="17"/>
      <c r="C26" s="69"/>
      <c r="D26" s="70" t="str">
        <f aca="false">IF($C26="","",IF($C26=MAX($C$12:$C$31),"Kim cương",IF($C26=IFERROR(LARGE($C$12:$C$31,2),-1),"Vàng","Thân thiện")))</f>
        <v/>
      </c>
      <c r="E26" s="71"/>
    </row>
    <row r="27" customFormat="false" ht="15" hidden="false" customHeight="false" outlineLevel="0" collapsed="false">
      <c r="A27" s="34" t="str">
        <f aca="false">IF($B27="","",ROW()-11)</f>
        <v/>
      </c>
      <c r="B27" s="17"/>
      <c r="C27" s="69"/>
      <c r="D27" s="70" t="str">
        <f aca="false">IF($C27="","",IF($C27=MAX($C$12:$C$31),"Kim cương",IF($C27=IFERROR(LARGE($C$12:$C$31,2),-1),"Vàng","Thân thiện")))</f>
        <v/>
      </c>
      <c r="E27" s="71"/>
    </row>
    <row r="28" customFormat="false" ht="15" hidden="false" customHeight="false" outlineLevel="0" collapsed="false">
      <c r="A28" s="34" t="str">
        <f aca="false">IF($B28="","",ROW()-11)</f>
        <v/>
      </c>
      <c r="B28" s="17"/>
      <c r="C28" s="69"/>
      <c r="D28" s="70" t="str">
        <f aca="false">IF($C28="","",IF($C28=MAX($C$12:$C$31),"Kim cương",IF($C28=IFERROR(LARGE($C$12:$C$31,2),-1),"Vàng","Thân thiện")))</f>
        <v/>
      </c>
      <c r="E28" s="71"/>
    </row>
    <row r="29" customFormat="false" ht="15" hidden="false" customHeight="false" outlineLevel="0" collapsed="false">
      <c r="A29" s="34" t="str">
        <f aca="false">IF($B29="","",ROW()-11)</f>
        <v/>
      </c>
      <c r="B29" s="17"/>
      <c r="C29" s="69"/>
      <c r="D29" s="70" t="str">
        <f aca="false">IF($C29="","",IF($C29=MAX($C$12:$C$31),"Kim cương",IF($C29=IFERROR(LARGE($C$12:$C$31,2),-1),"Vàng","Thân thiện")))</f>
        <v/>
      </c>
      <c r="E29" s="71"/>
    </row>
    <row r="30" customFormat="false" ht="15" hidden="false" customHeight="false" outlineLevel="0" collapsed="false">
      <c r="A30" s="34" t="str">
        <f aca="false">IF($B30="","",ROW()-11)</f>
        <v/>
      </c>
      <c r="B30" s="17"/>
      <c r="C30" s="69"/>
      <c r="D30" s="70" t="str">
        <f aca="false">IF($C30="","",IF($C30=MAX($C$12:$C$31),"Kim cương",IF($C30=IFERROR(LARGE($C$12:$C$31,2),-1),"Vàng","Thân thiện")))</f>
        <v/>
      </c>
      <c r="E30" s="71"/>
    </row>
    <row r="31" customFormat="false" ht="15" hidden="false" customHeight="false" outlineLevel="0" collapsed="false">
      <c r="A31" s="34" t="str">
        <f aca="false">IF($B31="","",ROW()-11)</f>
        <v/>
      </c>
      <c r="B31" s="17"/>
      <c r="C31" s="69"/>
      <c r="D31" s="70" t="str">
        <f aca="false">IF($C31="","",IF($C31=MAX($C$12:$C$31),"Kim cương",IF($C31=IFERROR(LARGE($C$12:$C$31,2),-1),"Vàng","Thân thiện")))</f>
        <v/>
      </c>
      <c r="E31" s="71"/>
    </row>
    <row r="33" customFormat="false" ht="39.75" hidden="false" customHeight="true" outlineLevel="0" collapsed="false">
      <c r="A33" s="40" t="s">
        <v>215</v>
      </c>
      <c r="B33" s="40"/>
      <c r="C33" s="40"/>
      <c r="D33" s="40"/>
      <c r="E33" s="40"/>
    </row>
  </sheetData>
  <mergeCells count="9">
    <mergeCell ref="A1:E1"/>
    <mergeCell ref="A2:E2"/>
    <mergeCell ref="A4:E4"/>
    <mergeCell ref="A5:B5"/>
    <mergeCell ref="A6:B6"/>
    <mergeCell ref="A7:B7"/>
    <mergeCell ref="A8:B8"/>
    <mergeCell ref="A10:E10"/>
    <mergeCell ref="A33:E33"/>
  </mergeCells>
  <conditionalFormatting sqref="A12:E31">
    <cfRule type="expression" priority="2" aboveAverage="0" equalAverage="0" bottom="0" percent="0" rank="0" text="" dxfId="2">
      <formula>$D12="Kim cương"</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24"/>
    <col collapsed="false" customWidth="true" hidden="false" outlineLevel="0" max="3" min="3" style="0" width="14"/>
    <col collapsed="false" customWidth="true" hidden="false" outlineLevel="0" max="7" min="4" style="0" width="15"/>
    <col collapsed="false" customWidth="true" hidden="false" outlineLevel="0" max="8" min="8" style="0" width="26"/>
  </cols>
  <sheetData>
    <row r="1" customFormat="false" ht="30" hidden="false" customHeight="true" outlineLevel="0" collapsed="false">
      <c r="A1" s="1" t="s">
        <v>216</v>
      </c>
      <c r="B1" s="1"/>
      <c r="C1" s="1"/>
      <c r="D1" s="1"/>
      <c r="E1" s="1"/>
      <c r="F1" s="1"/>
      <c r="G1" s="1"/>
      <c r="H1" s="1"/>
    </row>
    <row r="2" customFormat="false" ht="16.5" hidden="false" customHeight="true" outlineLevel="0" collapsed="false">
      <c r="A2" s="2" t="s">
        <v>217</v>
      </c>
      <c r="B2" s="2"/>
      <c r="C2" s="2"/>
      <c r="D2" s="2"/>
      <c r="E2" s="2"/>
      <c r="F2" s="2"/>
      <c r="G2" s="2"/>
      <c r="H2" s="2"/>
    </row>
    <row r="4" customFormat="false" ht="21.75" hidden="false" customHeight="true" outlineLevel="0" collapsed="false">
      <c r="A4" s="3" t="s">
        <v>218</v>
      </c>
      <c r="B4" s="3"/>
      <c r="C4" s="3"/>
      <c r="D4" s="3"/>
      <c r="E4" s="3"/>
      <c r="F4" s="3"/>
      <c r="G4" s="3"/>
      <c r="H4" s="3"/>
    </row>
    <row r="5" customFormat="false" ht="30" hidden="false" customHeight="true" outlineLevel="0" collapsed="false">
      <c r="A5" s="11" t="s">
        <v>219</v>
      </c>
      <c r="B5" s="11" t="s">
        <v>76</v>
      </c>
      <c r="C5" s="11"/>
      <c r="D5" s="11"/>
      <c r="E5" s="11"/>
      <c r="F5" s="11"/>
      <c r="G5" s="11"/>
      <c r="H5" s="11"/>
    </row>
    <row r="6" customFormat="false" ht="24" hidden="false" customHeight="true" outlineLevel="0" collapsed="false">
      <c r="A6" s="72" t="s">
        <v>220</v>
      </c>
      <c r="B6" s="73" t="str">
        <f aca="false">'Tranh hạng'!$B$10</f>
        <v>— chưa đủ 2/3 nội dung</v>
      </c>
      <c r="C6" s="74"/>
      <c r="D6" s="74"/>
      <c r="E6" s="74"/>
      <c r="F6" s="74"/>
      <c r="G6" s="74"/>
      <c r="H6" s="74"/>
    </row>
    <row r="7" customFormat="false" ht="15" hidden="false" customHeight="false" outlineLevel="0" collapsed="false">
      <c r="A7" s="72" t="s">
        <v>221</v>
      </c>
      <c r="B7" s="73" t="str">
        <f aca="false">'Tranh hạng'!$B$11</f>
        <v>— chưa đủ 2/3 nội dung</v>
      </c>
      <c r="C7" s="74"/>
      <c r="D7" s="74"/>
      <c r="E7" s="74"/>
      <c r="F7" s="74"/>
      <c r="G7" s="74"/>
      <c r="H7" s="74"/>
    </row>
    <row r="8" customFormat="false" ht="15" hidden="false" customHeight="false" outlineLevel="0" collapsed="false">
      <c r="A8" s="72" t="s">
        <v>222</v>
      </c>
      <c r="B8" s="73" t="str">
        <f aca="false">'Tranh hạng'!$B$19</f>
        <v>— chưa đủ 2/3 nội dung</v>
      </c>
      <c r="C8" s="74"/>
      <c r="D8" s="74"/>
      <c r="E8" s="74"/>
      <c r="F8" s="74"/>
      <c r="G8" s="74"/>
      <c r="H8" s="74"/>
    </row>
    <row r="9" customFormat="false" ht="15" hidden="false" customHeight="false" outlineLevel="0" collapsed="false">
      <c r="A9" s="72" t="s">
        <v>223</v>
      </c>
      <c r="B9" s="73" t="str">
        <f aca="false">'Tranh hạng'!$B$20</f>
        <v>— chưa đủ 2/3 nội dung</v>
      </c>
      <c r="C9" s="74"/>
      <c r="D9" s="74"/>
      <c r="E9" s="74"/>
      <c r="F9" s="74"/>
      <c r="G9" s="74"/>
      <c r="H9" s="74"/>
    </row>
    <row r="11" customFormat="false" ht="21.75" hidden="false" customHeight="true" outlineLevel="0" collapsed="false">
      <c r="A11" s="3" t="s">
        <v>224</v>
      </c>
      <c r="B11" s="3"/>
      <c r="C11" s="3"/>
      <c r="D11" s="3"/>
      <c r="E11" s="3"/>
      <c r="F11" s="3"/>
      <c r="G11" s="3"/>
      <c r="H11" s="3"/>
    </row>
    <row r="12" customFormat="false" ht="30" hidden="false" customHeight="true" outlineLevel="0" collapsed="false">
      <c r="A12" s="11" t="s">
        <v>98</v>
      </c>
      <c r="B12" s="11" t="s">
        <v>225</v>
      </c>
      <c r="C12" s="11" t="s">
        <v>226</v>
      </c>
      <c r="D12" s="11" t="str">
        <f aca="false">'Đội hình'!$B$5</f>
        <v>Đội Đỏ</v>
      </c>
      <c r="E12" s="11" t="str">
        <f aca="false">'Đội hình'!$B$6</f>
        <v>Đội Xanh</v>
      </c>
      <c r="F12" s="11" t="str">
        <f aca="false">'Đội hình'!$B$7</f>
        <v>Đội Vàng</v>
      </c>
      <c r="G12" s="11" t="str">
        <f aca="false">'Đội hình'!$B$8</f>
        <v>Đội Trắng</v>
      </c>
      <c r="H12" s="11" t="s">
        <v>78</v>
      </c>
    </row>
    <row r="13" customFormat="false" ht="15" hidden="false" customHeight="false" outlineLevel="0" collapsed="false">
      <c r="A13" s="22" t="s">
        <v>103</v>
      </c>
      <c r="B13" s="75" t="str">
        <f aca="false">IF($C13=0,"— chưa có kết quả",INDEX('Đội hình'!$B$5:$B$8,MATCH($C13,$D13:$G13,0)))</f>
        <v>Đội Đỏ</v>
      </c>
      <c r="C13" s="36" t="n">
        <f aca="false">MAX($D13:$G13)</f>
        <v>1</v>
      </c>
      <c r="D13" s="36" t="n">
        <f aca="false">SUMPRODUCT(('Vòng loại'!$E$6:$E$23=$A13)*('Vòng loại'!$J$6:$J$23='Đội hình'!$B$5))</f>
        <v>1</v>
      </c>
      <c r="E13" s="36" t="n">
        <f aca="false">SUMPRODUCT(('Vòng loại'!$E$6:$E$23=$A13)*('Vòng loại'!$J$6:$J$23='Đội hình'!$B$6))</f>
        <v>0</v>
      </c>
      <c r="F13" s="36" t="n">
        <f aca="false">SUMPRODUCT(('Vòng loại'!$E$6:$E$23=$A13)*('Vòng loại'!$J$6:$J$23='Đội hình'!$B$7))</f>
        <v>0</v>
      </c>
      <c r="G13" s="36" t="n">
        <f aca="false">SUMPRODUCT(('Vòng loại'!$E$6:$E$23=$A13)*('Vòng loại'!$J$6:$J$23='Đội hình'!$B$8))</f>
        <v>0</v>
      </c>
      <c r="H13" s="71"/>
    </row>
    <row r="14" customFormat="false" ht="15" hidden="false" customHeight="false" outlineLevel="0" collapsed="false">
      <c r="A14" s="22" t="s">
        <v>104</v>
      </c>
      <c r="B14" s="75" t="str">
        <f aca="false">IF($C14=0,"— chưa có kết quả",INDEX('Đội hình'!$B$5:$B$8,MATCH($C14,$D14:$G14,0)))</f>
        <v>Đội Xanh</v>
      </c>
      <c r="C14" s="36" t="n">
        <f aca="false">MAX($D14:$G14)</f>
        <v>1</v>
      </c>
      <c r="D14" s="36" t="n">
        <f aca="false">SUMPRODUCT(('Vòng loại'!$E$6:$E$23=$A14)*('Vòng loại'!$J$6:$J$23='Đội hình'!$B$5))</f>
        <v>0</v>
      </c>
      <c r="E14" s="36" t="n">
        <f aca="false">SUMPRODUCT(('Vòng loại'!$E$6:$E$23=$A14)*('Vòng loại'!$J$6:$J$23='Đội hình'!$B$6))</f>
        <v>1</v>
      </c>
      <c r="F14" s="36" t="n">
        <f aca="false">SUMPRODUCT(('Vòng loại'!$E$6:$E$23=$A14)*('Vòng loại'!$J$6:$J$23='Đội hình'!$B$7))</f>
        <v>0</v>
      </c>
      <c r="G14" s="36" t="n">
        <f aca="false">SUMPRODUCT(('Vòng loại'!$E$6:$E$23=$A14)*('Vòng loại'!$J$6:$J$23='Đội hình'!$B$8))</f>
        <v>0</v>
      </c>
      <c r="H14" s="71"/>
    </row>
    <row r="15" customFormat="false" ht="15" hidden="false" customHeight="false" outlineLevel="0" collapsed="false">
      <c r="A15" s="22" t="s">
        <v>105</v>
      </c>
      <c r="B15" s="75" t="str">
        <f aca="false">IF($C15=0,"— chưa có kết quả",INDEX('Đội hình'!$B$5:$B$8,MATCH($C15,$D15:$G15,0)))</f>
        <v>Đội Đỏ</v>
      </c>
      <c r="C15" s="36" t="n">
        <f aca="false">MAX($D15:$G15)</f>
        <v>1</v>
      </c>
      <c r="D15" s="36" t="n">
        <f aca="false">SUMPRODUCT(('Vòng loại'!$E$6:$E$23=$A15)*('Vòng loại'!$J$6:$J$23='Đội hình'!$B$5))</f>
        <v>1</v>
      </c>
      <c r="E15" s="36" t="n">
        <f aca="false">SUMPRODUCT(('Vòng loại'!$E$6:$E$23=$A15)*('Vòng loại'!$J$6:$J$23='Đội hình'!$B$6))</f>
        <v>0</v>
      </c>
      <c r="F15" s="36" t="n">
        <f aca="false">SUMPRODUCT(('Vòng loại'!$E$6:$E$23=$A15)*('Vòng loại'!$J$6:$J$23='Đội hình'!$B$7))</f>
        <v>0</v>
      </c>
      <c r="G15" s="36" t="n">
        <f aca="false">SUMPRODUCT(('Vòng loại'!$E$6:$E$23=$A15)*('Vòng loại'!$J$6:$J$23='Đội hình'!$B$8))</f>
        <v>0</v>
      </c>
      <c r="H15" s="71"/>
    </row>
    <row r="17" customFormat="false" ht="21.75" hidden="false" customHeight="true" outlineLevel="0" collapsed="false">
      <c r="A17" s="3" t="s">
        <v>227</v>
      </c>
      <c r="B17" s="3"/>
      <c r="C17" s="3"/>
      <c r="D17" s="3"/>
      <c r="E17" s="3"/>
      <c r="F17" s="3"/>
      <c r="G17" s="3"/>
      <c r="H17" s="3"/>
    </row>
    <row r="18" customFormat="false" ht="30" hidden="false" customHeight="true" outlineLevel="0" collapsed="false">
      <c r="A18" s="11" t="s">
        <v>228</v>
      </c>
      <c r="B18" s="11" t="s">
        <v>220</v>
      </c>
      <c r="C18" s="11" t="s">
        <v>221</v>
      </c>
      <c r="D18" s="11" t="s">
        <v>222</v>
      </c>
      <c r="E18" s="11" t="s">
        <v>223</v>
      </c>
      <c r="F18" s="11" t="s">
        <v>11</v>
      </c>
      <c r="G18" s="11" t="s">
        <v>229</v>
      </c>
      <c r="H18" s="11" t="s">
        <v>78</v>
      </c>
    </row>
    <row r="19" customFormat="false" ht="15" hidden="false" customHeight="false" outlineLevel="0" collapsed="false">
      <c r="A19" s="47" t="n">
        <v>2026</v>
      </c>
      <c r="B19" s="38" t="str">
        <f aca="false">$B$6</f>
        <v>— chưa đủ 2/3 nội dung</v>
      </c>
      <c r="C19" s="38" t="str">
        <f aca="false">$B$7</f>
        <v>— chưa đủ 2/3 nội dung</v>
      </c>
      <c r="D19" s="38" t="str">
        <f aca="false">$B$8</f>
        <v>— chưa đủ 2/3 nội dung</v>
      </c>
      <c r="E19" s="38" t="str">
        <f aca="false">$B$9</f>
        <v>— chưa đủ 2/3 nội dung</v>
      </c>
      <c r="F19" s="38" t="n">
        <v>4</v>
      </c>
      <c r="G19" s="38" t="n">
        <f aca="false">COUNTA(VĐV!$B$8:$B$47)</f>
        <v>1</v>
      </c>
      <c r="H19" s="76" t="s">
        <v>230</v>
      </c>
    </row>
    <row r="20" customFormat="false" ht="15" hidden="false" customHeight="false" outlineLevel="0" collapsed="false">
      <c r="A20" s="38"/>
      <c r="B20" s="38"/>
      <c r="C20" s="38"/>
      <c r="D20" s="38"/>
      <c r="E20" s="38"/>
      <c r="F20" s="38"/>
      <c r="G20" s="38"/>
      <c r="H20" s="76"/>
    </row>
    <row r="21" customFormat="false" ht="15" hidden="false" customHeight="false" outlineLevel="0" collapsed="false">
      <c r="A21" s="38"/>
      <c r="B21" s="38"/>
      <c r="C21" s="38"/>
      <c r="D21" s="38"/>
      <c r="E21" s="38"/>
      <c r="F21" s="38"/>
      <c r="G21" s="38"/>
      <c r="H21" s="76"/>
    </row>
    <row r="22" customFormat="false" ht="15" hidden="false" customHeight="false" outlineLevel="0" collapsed="false">
      <c r="A22" s="38"/>
      <c r="B22" s="38"/>
      <c r="C22" s="38"/>
      <c r="D22" s="38"/>
      <c r="E22" s="38"/>
      <c r="F22" s="38"/>
      <c r="G22" s="38"/>
      <c r="H22" s="76"/>
    </row>
    <row r="23" customFormat="false" ht="15" hidden="false" customHeight="false" outlineLevel="0" collapsed="false">
      <c r="A23" s="38"/>
      <c r="B23" s="38"/>
      <c r="C23" s="38"/>
      <c r="D23" s="38"/>
      <c r="E23" s="38"/>
      <c r="F23" s="38"/>
      <c r="G23" s="38"/>
      <c r="H23" s="76"/>
    </row>
    <row r="24" customFormat="false" ht="15" hidden="false" customHeight="false" outlineLevel="0" collapsed="false">
      <c r="A24" s="38"/>
      <c r="B24" s="38"/>
      <c r="C24" s="38"/>
      <c r="D24" s="38"/>
      <c r="E24" s="38"/>
      <c r="F24" s="38"/>
      <c r="G24" s="38"/>
      <c r="H24" s="76"/>
    </row>
    <row r="25" customFormat="false" ht="15" hidden="false" customHeight="false" outlineLevel="0" collapsed="false">
      <c r="A25" s="38"/>
      <c r="B25" s="38"/>
      <c r="C25" s="38"/>
      <c r="D25" s="38"/>
      <c r="E25" s="38"/>
      <c r="F25" s="38"/>
      <c r="G25" s="38"/>
      <c r="H25" s="76"/>
    </row>
    <row r="26" customFormat="false" ht="15" hidden="false" customHeight="false" outlineLevel="0" collapsed="false">
      <c r="A26" s="38"/>
      <c r="B26" s="38"/>
      <c r="C26" s="38"/>
      <c r="D26" s="38"/>
      <c r="E26" s="38"/>
      <c r="F26" s="38"/>
      <c r="G26" s="38"/>
      <c r="H26" s="76"/>
    </row>
    <row r="28" customFormat="false" ht="25.5" hidden="false" customHeight="true" outlineLevel="0" collapsed="false">
      <c r="A28" s="40" t="s">
        <v>231</v>
      </c>
      <c r="B28" s="40"/>
      <c r="C28" s="40"/>
      <c r="D28" s="40"/>
      <c r="E28" s="40"/>
      <c r="F28" s="40"/>
      <c r="G28" s="40"/>
      <c r="H28" s="40"/>
    </row>
  </sheetData>
  <mergeCells count="11">
    <mergeCell ref="A1:H1"/>
    <mergeCell ref="A2:H2"/>
    <mergeCell ref="A4:H4"/>
    <mergeCell ref="C5:H5"/>
    <mergeCell ref="C6:H6"/>
    <mergeCell ref="C7:H7"/>
    <mergeCell ref="C8:H8"/>
    <mergeCell ref="C9:H9"/>
    <mergeCell ref="A11:H11"/>
    <mergeCell ref="A17:H17"/>
    <mergeCell ref="A28:H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2026-09-10T16:59:32Z</dcterms:created>
  <dc:creator>openpyxl</dc:creator>
  <dc:description/>
  <dc:language>en-US</dc:language>
  <cp:lastModifiedBy/>
  <dcterms:modified xsi:type="dcterms:W3CDTF">2026-09-10T16:59:32Z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